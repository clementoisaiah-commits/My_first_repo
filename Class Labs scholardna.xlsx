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cuments\"/>
    </mc:Choice>
  </mc:AlternateContent>
  <bookViews>
    <workbookView xWindow="-120" yWindow="-120" windowWidth="20730" windowHeight="11160" activeTab="1"/>
  </bookViews>
  <sheets>
    <sheet name="Start" sheetId="3" r:id="rId1"/>
    <sheet name="Sheet1" sheetId="6" r:id="rId2"/>
    <sheet name="Dashboard" sheetId="7" r:id="rId3"/>
    <sheet name="Staff Info" sheetId="1" r:id="rId4"/>
    <sheet name="Staff Salary" sheetId="2" r:id="rId5"/>
  </sheets>
  <calcPr calcId="152511"/>
  <pivotCaches>
    <pivotCache cacheId="1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4"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3" i="1"/>
  <c r="U4" i="1" l="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3" i="1"/>
  <c r="P4" i="1" l="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3" i="1"/>
  <c r="L4" i="1"/>
  <c r="J4" i="1" s="1"/>
  <c r="K4" i="1" s="1"/>
  <c r="L5" i="1"/>
  <c r="J5" i="1" s="1"/>
  <c r="K5" i="1" s="1"/>
  <c r="L6" i="1"/>
  <c r="J6" i="1" s="1"/>
  <c r="K6" i="1" s="1"/>
  <c r="L7" i="1"/>
  <c r="J7" i="1" s="1"/>
  <c r="K7" i="1" s="1"/>
  <c r="L8" i="1"/>
  <c r="J8" i="1" s="1"/>
  <c r="K8" i="1" s="1"/>
  <c r="L9" i="1"/>
  <c r="J9" i="1" s="1"/>
  <c r="K9" i="1" s="1"/>
  <c r="L10" i="1"/>
  <c r="J10" i="1" s="1"/>
  <c r="K10" i="1" s="1"/>
  <c r="L11" i="1"/>
  <c r="J11" i="1" s="1"/>
  <c r="K11" i="1" s="1"/>
  <c r="L12" i="1"/>
  <c r="J12" i="1" s="1"/>
  <c r="K12" i="1" s="1"/>
  <c r="L13" i="1"/>
  <c r="J13" i="1" s="1"/>
  <c r="K13" i="1" s="1"/>
  <c r="L14" i="1"/>
  <c r="J14" i="1" s="1"/>
  <c r="K14" i="1" s="1"/>
  <c r="L15" i="1"/>
  <c r="J15" i="1" s="1"/>
  <c r="K15" i="1" s="1"/>
  <c r="L16" i="1"/>
  <c r="J16" i="1" s="1"/>
  <c r="K16" i="1" s="1"/>
  <c r="L17" i="1"/>
  <c r="J17" i="1" s="1"/>
  <c r="K17" i="1" s="1"/>
  <c r="L18" i="1"/>
  <c r="J18" i="1" s="1"/>
  <c r="K18" i="1" s="1"/>
  <c r="L19" i="1"/>
  <c r="J19" i="1" s="1"/>
  <c r="K19" i="1" s="1"/>
  <c r="L20" i="1"/>
  <c r="J20" i="1" s="1"/>
  <c r="K20" i="1" s="1"/>
  <c r="L21" i="1"/>
  <c r="J21" i="1" s="1"/>
  <c r="K21" i="1" s="1"/>
  <c r="L22" i="1"/>
  <c r="J22" i="1" s="1"/>
  <c r="K22" i="1" s="1"/>
  <c r="L23" i="1"/>
  <c r="J23" i="1" s="1"/>
  <c r="K23" i="1" s="1"/>
  <c r="L24" i="1"/>
  <c r="J24" i="1" s="1"/>
  <c r="K24" i="1" s="1"/>
  <c r="L25" i="1"/>
  <c r="J25" i="1" s="1"/>
  <c r="K25" i="1" s="1"/>
  <c r="L26" i="1"/>
  <c r="J26" i="1" s="1"/>
  <c r="K26" i="1" s="1"/>
  <c r="L27" i="1"/>
  <c r="J27" i="1" s="1"/>
  <c r="K27" i="1" s="1"/>
  <c r="L28" i="1"/>
  <c r="J28" i="1" s="1"/>
  <c r="K28" i="1" s="1"/>
  <c r="L29" i="1"/>
  <c r="J29" i="1" s="1"/>
  <c r="K29" i="1" s="1"/>
  <c r="L30" i="1"/>
  <c r="J30" i="1" s="1"/>
  <c r="K30" i="1" s="1"/>
  <c r="L31" i="1"/>
  <c r="J31" i="1" s="1"/>
  <c r="K31" i="1" s="1"/>
  <c r="L32" i="1"/>
  <c r="J32" i="1" s="1"/>
  <c r="K32" i="1" s="1"/>
  <c r="L33" i="1"/>
  <c r="J33" i="1" s="1"/>
  <c r="K33" i="1" s="1"/>
  <c r="L34" i="1"/>
  <c r="J34" i="1" s="1"/>
  <c r="K34" i="1" s="1"/>
  <c r="L35" i="1"/>
  <c r="J35" i="1" s="1"/>
  <c r="K35" i="1" s="1"/>
  <c r="L36" i="1"/>
  <c r="J36" i="1" s="1"/>
  <c r="K36" i="1" s="1"/>
  <c r="L37" i="1"/>
  <c r="J37" i="1" s="1"/>
  <c r="K37" i="1" s="1"/>
  <c r="L38" i="1"/>
  <c r="J38" i="1" s="1"/>
  <c r="K38" i="1" s="1"/>
  <c r="L39" i="1"/>
  <c r="J39" i="1" s="1"/>
  <c r="K39" i="1" s="1"/>
  <c r="L40" i="1"/>
  <c r="J40" i="1" s="1"/>
  <c r="K40" i="1" s="1"/>
  <c r="L41" i="1"/>
  <c r="J41" i="1" s="1"/>
  <c r="K41" i="1" s="1"/>
  <c r="L42" i="1"/>
  <c r="J42" i="1" s="1"/>
  <c r="K42" i="1" s="1"/>
  <c r="L43" i="1"/>
  <c r="J43" i="1" s="1"/>
  <c r="K43" i="1" s="1"/>
  <c r="L44" i="1"/>
  <c r="J44" i="1" s="1"/>
  <c r="K44" i="1" s="1"/>
  <c r="L45" i="1"/>
  <c r="J45" i="1" s="1"/>
  <c r="K45" i="1" s="1"/>
  <c r="L46" i="1"/>
  <c r="J46" i="1" s="1"/>
  <c r="K46" i="1" s="1"/>
  <c r="L47" i="1"/>
  <c r="J47" i="1" s="1"/>
  <c r="K47" i="1" s="1"/>
  <c r="L48" i="1"/>
  <c r="J48" i="1" s="1"/>
  <c r="K48" i="1" s="1"/>
  <c r="L49" i="1"/>
  <c r="J49" i="1" s="1"/>
  <c r="K49" i="1" s="1"/>
  <c r="L50" i="1"/>
  <c r="J50" i="1" s="1"/>
  <c r="K50" i="1" s="1"/>
  <c r="L51" i="1"/>
  <c r="J51" i="1" s="1"/>
  <c r="K51" i="1" s="1"/>
  <c r="L52" i="1"/>
  <c r="J52" i="1" s="1"/>
  <c r="K52" i="1" s="1"/>
  <c r="L53" i="1"/>
  <c r="J53" i="1" s="1"/>
  <c r="K53" i="1" s="1"/>
  <c r="L54" i="1"/>
  <c r="J54" i="1" s="1"/>
  <c r="K54" i="1" s="1"/>
  <c r="L55" i="1"/>
  <c r="J55" i="1" s="1"/>
  <c r="K55" i="1" s="1"/>
  <c r="L56" i="1"/>
  <c r="J56" i="1" s="1"/>
  <c r="K56" i="1" s="1"/>
  <c r="L57" i="1"/>
  <c r="J57" i="1" s="1"/>
  <c r="K57" i="1" s="1"/>
  <c r="L58" i="1"/>
  <c r="J58" i="1" s="1"/>
  <c r="K58" i="1" s="1"/>
  <c r="L59" i="1"/>
  <c r="J59" i="1" s="1"/>
  <c r="K59" i="1" s="1"/>
  <c r="L60" i="1"/>
  <c r="J60" i="1" s="1"/>
  <c r="K60" i="1" s="1"/>
  <c r="L61" i="1"/>
  <c r="J61" i="1" s="1"/>
  <c r="K61" i="1" s="1"/>
  <c r="L62" i="1"/>
  <c r="J62" i="1" s="1"/>
  <c r="K62" i="1" s="1"/>
  <c r="L63" i="1"/>
  <c r="J63" i="1" s="1"/>
  <c r="K63" i="1" s="1"/>
  <c r="L64" i="1"/>
  <c r="J64" i="1" s="1"/>
  <c r="K64" i="1" s="1"/>
  <c r="L65" i="1"/>
  <c r="J65" i="1" s="1"/>
  <c r="K65" i="1" s="1"/>
  <c r="L66" i="1"/>
  <c r="J66" i="1" s="1"/>
  <c r="K66" i="1" s="1"/>
  <c r="L67" i="1"/>
  <c r="J67" i="1" s="1"/>
  <c r="K67" i="1" s="1"/>
  <c r="L68" i="1"/>
  <c r="J68" i="1" s="1"/>
  <c r="K68" i="1" s="1"/>
  <c r="L69" i="1"/>
  <c r="J69" i="1" s="1"/>
  <c r="K69" i="1" s="1"/>
  <c r="L70" i="1"/>
  <c r="J70" i="1" s="1"/>
  <c r="K70" i="1" s="1"/>
  <c r="L71" i="1"/>
  <c r="J71" i="1" s="1"/>
  <c r="K71" i="1" s="1"/>
  <c r="L72" i="1"/>
  <c r="J72" i="1" s="1"/>
  <c r="K72" i="1" s="1"/>
  <c r="L73" i="1"/>
  <c r="J73" i="1" s="1"/>
  <c r="K73" i="1" s="1"/>
  <c r="L74" i="1"/>
  <c r="J74" i="1" s="1"/>
  <c r="K74" i="1" s="1"/>
  <c r="L75" i="1"/>
  <c r="J75" i="1" s="1"/>
  <c r="K75" i="1" s="1"/>
  <c r="L76" i="1"/>
  <c r="J76" i="1" s="1"/>
  <c r="K76" i="1" s="1"/>
  <c r="L77" i="1"/>
  <c r="J77" i="1" s="1"/>
  <c r="K77" i="1" s="1"/>
  <c r="L78" i="1"/>
  <c r="J78" i="1" s="1"/>
  <c r="K78" i="1" s="1"/>
  <c r="L79" i="1"/>
  <c r="J79" i="1" s="1"/>
  <c r="K79" i="1" s="1"/>
  <c r="L80" i="1"/>
  <c r="J80" i="1" s="1"/>
  <c r="K80" i="1" s="1"/>
  <c r="L81" i="1"/>
  <c r="J81" i="1" s="1"/>
  <c r="K81" i="1" s="1"/>
  <c r="L82" i="1"/>
  <c r="J82" i="1" s="1"/>
  <c r="K82" i="1" s="1"/>
  <c r="L83" i="1"/>
  <c r="J83" i="1" s="1"/>
  <c r="K83" i="1" s="1"/>
  <c r="L84" i="1"/>
  <c r="J84" i="1" s="1"/>
  <c r="K84" i="1" s="1"/>
  <c r="L85" i="1"/>
  <c r="J85" i="1" s="1"/>
  <c r="K85" i="1" s="1"/>
  <c r="L86" i="1"/>
  <c r="J86" i="1" s="1"/>
  <c r="K86" i="1" s="1"/>
  <c r="L87" i="1"/>
  <c r="J87" i="1" s="1"/>
  <c r="K87" i="1" s="1"/>
  <c r="L88" i="1"/>
  <c r="J88" i="1" s="1"/>
  <c r="K88" i="1" s="1"/>
  <c r="L89" i="1"/>
  <c r="J89" i="1" s="1"/>
  <c r="K89" i="1" s="1"/>
  <c r="L90" i="1"/>
  <c r="J90" i="1" s="1"/>
  <c r="K90" i="1" s="1"/>
  <c r="L91" i="1"/>
  <c r="J91" i="1" s="1"/>
  <c r="K91" i="1" s="1"/>
  <c r="L92" i="1"/>
  <c r="J92" i="1" s="1"/>
  <c r="K92" i="1" s="1"/>
  <c r="L93" i="1"/>
  <c r="J93" i="1" s="1"/>
  <c r="K93" i="1" s="1"/>
  <c r="L94" i="1"/>
  <c r="J94" i="1" s="1"/>
  <c r="K94" i="1" s="1"/>
  <c r="L95" i="1"/>
  <c r="J95" i="1" s="1"/>
  <c r="K95" i="1" s="1"/>
  <c r="L96" i="1"/>
  <c r="J96" i="1" s="1"/>
  <c r="K96" i="1" s="1"/>
  <c r="L97" i="1"/>
  <c r="J97" i="1" s="1"/>
  <c r="K97" i="1" s="1"/>
  <c r="L98" i="1"/>
  <c r="J98" i="1" s="1"/>
  <c r="K98" i="1" s="1"/>
  <c r="L99" i="1"/>
  <c r="J99" i="1" s="1"/>
  <c r="K99" i="1" s="1"/>
  <c r="L100" i="1"/>
  <c r="J100" i="1" s="1"/>
  <c r="K100" i="1" s="1"/>
  <c r="L101" i="1"/>
  <c r="J101" i="1" s="1"/>
  <c r="K101" i="1" s="1"/>
  <c r="L102" i="1"/>
  <c r="J102" i="1" s="1"/>
  <c r="K102" i="1" s="1"/>
  <c r="L103" i="1"/>
  <c r="J103" i="1" s="1"/>
  <c r="K103" i="1" s="1"/>
  <c r="L104" i="1"/>
  <c r="J104" i="1" s="1"/>
  <c r="K104" i="1" s="1"/>
  <c r="L3" i="1"/>
  <c r="J3" i="1" s="1"/>
  <c r="K3" i="1" s="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3" i="1"/>
  <c r="Q99" i="1" l="1"/>
  <c r="Q83" i="1"/>
  <c r="Q67" i="1"/>
  <c r="Q51" i="1"/>
  <c r="Q35" i="1"/>
  <c r="Q19" i="1"/>
  <c r="Q95" i="1"/>
  <c r="Q79" i="1"/>
  <c r="Q63" i="1"/>
  <c r="Q47" i="1"/>
  <c r="Q31" i="1"/>
  <c r="Q15" i="1"/>
  <c r="Q91" i="1"/>
  <c r="Q75" i="1"/>
  <c r="Q59" i="1"/>
  <c r="Q43" i="1"/>
  <c r="Q27" i="1"/>
  <c r="Q11" i="1"/>
  <c r="Q103" i="1"/>
  <c r="Q87" i="1"/>
  <c r="Q71" i="1"/>
  <c r="Q55" i="1"/>
  <c r="Q39" i="1"/>
  <c r="Q23" i="1"/>
  <c r="Q7" i="1"/>
  <c r="Q102" i="1"/>
  <c r="Q98" i="1"/>
  <c r="Q94" i="1"/>
  <c r="Q90" i="1"/>
  <c r="Q86" i="1"/>
  <c r="Q82" i="1"/>
  <c r="Q78" i="1"/>
  <c r="Q74" i="1"/>
  <c r="Q70" i="1"/>
  <c r="Q66" i="1"/>
  <c r="Q62" i="1"/>
  <c r="Q58" i="1"/>
  <c r="Q54" i="1"/>
  <c r="Q50" i="1"/>
  <c r="Q46" i="1"/>
  <c r="Q42" i="1"/>
  <c r="Q38" i="1"/>
  <c r="Q34" i="1"/>
  <c r="Q30" i="1"/>
  <c r="Q26" i="1"/>
  <c r="Q22" i="1"/>
  <c r="Q18" i="1"/>
  <c r="Q14" i="1"/>
  <c r="Q10" i="1"/>
  <c r="Q6" i="1"/>
  <c r="Q101" i="1"/>
  <c r="Q97" i="1"/>
  <c r="Q93" i="1"/>
  <c r="Q89" i="1"/>
  <c r="Q85" i="1"/>
  <c r="Q81" i="1"/>
  <c r="Q77" i="1"/>
  <c r="Q73" i="1"/>
  <c r="Q69" i="1"/>
  <c r="Q65" i="1"/>
  <c r="Q61" i="1"/>
  <c r="Q57" i="1"/>
  <c r="Q53" i="1"/>
  <c r="Q49" i="1"/>
  <c r="Q45" i="1"/>
  <c r="Q41" i="1"/>
  <c r="Q37" i="1"/>
  <c r="Q33" i="1"/>
  <c r="Q29" i="1"/>
  <c r="Q25" i="1"/>
  <c r="Q21" i="1"/>
  <c r="Q17" i="1"/>
  <c r="Q13" i="1"/>
  <c r="Q9" i="1"/>
  <c r="Q5" i="1"/>
  <c r="Q104" i="1"/>
  <c r="Q100" i="1"/>
  <c r="Q96" i="1"/>
  <c r="Q92" i="1"/>
  <c r="Q88" i="1"/>
  <c r="Q84" i="1"/>
  <c r="Q80" i="1"/>
  <c r="Q76" i="1"/>
  <c r="Q72" i="1"/>
  <c r="Q68" i="1"/>
  <c r="Q64" i="1"/>
  <c r="Q60" i="1"/>
  <c r="Q56" i="1"/>
  <c r="Q52" i="1"/>
  <c r="Q48" i="1"/>
  <c r="Q44" i="1"/>
  <c r="Q40" i="1"/>
  <c r="Q36" i="1"/>
  <c r="Q32" i="1"/>
  <c r="Q28" i="1"/>
  <c r="Q24" i="1"/>
  <c r="Q20" i="1"/>
  <c r="Q16" i="1"/>
  <c r="Q12" i="1"/>
  <c r="Q8" i="1"/>
  <c r="Q4" i="1"/>
  <c r="Q3" i="1"/>
</calcChain>
</file>

<file path=xl/sharedStrings.xml><?xml version="1.0" encoding="utf-8"?>
<sst xmlns="http://schemas.openxmlformats.org/spreadsheetml/2006/main" count="1313" uniqueCount="520">
  <si>
    <t>Address</t>
  </si>
  <si>
    <t>Country</t>
  </si>
  <si>
    <t>City</t>
  </si>
  <si>
    <t>State</t>
  </si>
  <si>
    <t xml:space="preserve">765 Kingway                    </t>
  </si>
  <si>
    <t xml:space="preserve">Canada               </t>
  </si>
  <si>
    <t xml:space="preserve">Charlottetown                  </t>
  </si>
  <si>
    <t xml:space="preserve">PEI                          </t>
  </si>
  <si>
    <t xml:space="preserve">234 E Cannon Ave.              </t>
  </si>
  <si>
    <t xml:space="preserve">USA                  </t>
  </si>
  <si>
    <t xml:space="preserve">Saginaw                        </t>
  </si>
  <si>
    <t xml:space="preserve">MI                           </t>
  </si>
  <si>
    <t xml:space="preserve">234 Heritage Ave.              </t>
  </si>
  <si>
    <t xml:space="preserve">Midland                        </t>
  </si>
  <si>
    <t xml:space="preserve">5678 S. 42nd Ave.              </t>
  </si>
  <si>
    <t xml:space="preserve">Rockford                       </t>
  </si>
  <si>
    <t xml:space="preserve">IL                           </t>
  </si>
  <si>
    <t xml:space="preserve">123 Yeo                        </t>
  </si>
  <si>
    <t xml:space="preserve">Australia            </t>
  </si>
  <si>
    <t xml:space="preserve">Melbourne                      </t>
  </si>
  <si>
    <t xml:space="preserve">VIC                          </t>
  </si>
  <si>
    <t xml:space="preserve">12345 Redmond Rd               </t>
  </si>
  <si>
    <t xml:space="preserve">Milwaukee                      </t>
  </si>
  <si>
    <t xml:space="preserve">WI                           </t>
  </si>
  <si>
    <t xml:space="preserve">234 Hampton Village            </t>
  </si>
  <si>
    <t xml:space="preserve">Springfield                    </t>
  </si>
  <si>
    <t xml:space="preserve">1234 Westown Road              </t>
  </si>
  <si>
    <t xml:space="preserve">West Des Moines                </t>
  </si>
  <si>
    <t xml:space="preserve">IA                           </t>
  </si>
  <si>
    <t xml:space="preserve">4321 West Broadway             </t>
  </si>
  <si>
    <t xml:space="preserve">Montreal                       </t>
  </si>
  <si>
    <t xml:space="preserve">PQ                           </t>
  </si>
  <si>
    <t xml:space="preserve">City 123                       </t>
  </si>
  <si>
    <t xml:space="preserve">Sydney                         </t>
  </si>
  <si>
    <t xml:space="preserve">NSW                          </t>
  </si>
  <si>
    <t xml:space="preserve">987 Portar Street              </t>
  </si>
  <si>
    <t xml:space="preserve">New Zealand          </t>
  </si>
  <si>
    <t xml:space="preserve">Auckland                       </t>
  </si>
  <si>
    <t xml:space="preserve">                             </t>
  </si>
  <si>
    <t xml:space="preserve">8765 58th Street West          </t>
  </si>
  <si>
    <t xml:space="preserve">St. Louis                      </t>
  </si>
  <si>
    <t xml:space="preserve">MO                           </t>
  </si>
  <si>
    <t xml:space="preserve">987 Union Circle               </t>
  </si>
  <si>
    <t xml:space="preserve">Lockport                       </t>
  </si>
  <si>
    <t xml:space="preserve">678 W Orange Ave               </t>
  </si>
  <si>
    <t xml:space="preserve">Lafayette                      </t>
  </si>
  <si>
    <t xml:space="preserve">IN                           </t>
  </si>
  <si>
    <t xml:space="preserve">P.O. Box 1234                  </t>
  </si>
  <si>
    <t xml:space="preserve">Wichita                        </t>
  </si>
  <si>
    <t xml:space="preserve">KS                           </t>
  </si>
  <si>
    <t xml:space="preserve">234 Hickman St.                </t>
  </si>
  <si>
    <t xml:space="preserve">98765 Crossway Park Dr         </t>
  </si>
  <si>
    <t xml:space="preserve">Bloomington                    </t>
  </si>
  <si>
    <t xml:space="preserve">MN                           </t>
  </si>
  <si>
    <t xml:space="preserve">12345 21st Ave S               </t>
  </si>
  <si>
    <t xml:space="preserve">Lawrence                       </t>
  </si>
  <si>
    <t xml:space="preserve">9876 N. Pioneer Road           </t>
  </si>
  <si>
    <t xml:space="preserve">Gary                           </t>
  </si>
  <si>
    <t xml:space="preserve">5678 Fraser Ave N.             </t>
  </si>
  <si>
    <t xml:space="preserve">Mishawaka                      </t>
  </si>
  <si>
    <t xml:space="preserve">1234 Sunlight Place            </t>
  </si>
  <si>
    <t xml:space="preserve">Iowa City                      </t>
  </si>
  <si>
    <t xml:space="preserve">987 45 Ave.                    </t>
  </si>
  <si>
    <t xml:space="preserve">Winnipeg                       </t>
  </si>
  <si>
    <t xml:space="preserve">MB                           </t>
  </si>
  <si>
    <t xml:space="preserve">4321 McDaniels Rd              </t>
  </si>
  <si>
    <t xml:space="preserve">Minneapolis                    </t>
  </si>
  <si>
    <t xml:space="preserve">PO Box 2345                    </t>
  </si>
  <si>
    <t xml:space="preserve">Lake Zurich                    </t>
  </si>
  <si>
    <t xml:space="preserve">Business Office                </t>
  </si>
  <si>
    <t xml:space="preserve">Fort Wayne                     </t>
  </si>
  <si>
    <t xml:space="preserve">234 Lee Ridge Road             </t>
  </si>
  <si>
    <t xml:space="preserve">Chicago                        </t>
  </si>
  <si>
    <t xml:space="preserve">8765 College Drive             </t>
  </si>
  <si>
    <t xml:space="preserve">Grand Rapids                   </t>
  </si>
  <si>
    <t xml:space="preserve">5678 W. Jackson Ave            </t>
  </si>
  <si>
    <t xml:space="preserve">543 Abbot Ave.                 </t>
  </si>
  <si>
    <t xml:space="preserve">Halifax                        </t>
  </si>
  <si>
    <t xml:space="preserve">NS                           </t>
  </si>
  <si>
    <t xml:space="preserve">123 W. Nichols Rd              </t>
  </si>
  <si>
    <t xml:space="preserve">St. Paul                       </t>
  </si>
  <si>
    <t xml:space="preserve">1234 Redwood Trail             </t>
  </si>
  <si>
    <t xml:space="preserve">Indianapolis                   </t>
  </si>
  <si>
    <t xml:space="preserve">4567 145th St NW               </t>
  </si>
  <si>
    <t xml:space="preserve">Omaha                          </t>
  </si>
  <si>
    <t xml:space="preserve">NE                           </t>
  </si>
  <si>
    <t xml:space="preserve">123 Apple Grove Square         </t>
  </si>
  <si>
    <t xml:space="preserve">9876 Willingdon                </t>
  </si>
  <si>
    <t xml:space="preserve">Calgary                        </t>
  </si>
  <si>
    <t xml:space="preserve">AB                           </t>
  </si>
  <si>
    <t xml:space="preserve">4567 East River Road           </t>
  </si>
  <si>
    <t xml:space="preserve">Vancouver                      </t>
  </si>
  <si>
    <t xml:space="preserve">BC                           </t>
  </si>
  <si>
    <t xml:space="preserve">2345 42 St. W                  </t>
  </si>
  <si>
    <t xml:space="preserve">Woodbury                       </t>
  </si>
  <si>
    <t xml:space="preserve">987 Royal Park Centre          </t>
  </si>
  <si>
    <t xml:space="preserve">St. John's                     </t>
  </si>
  <si>
    <t xml:space="preserve">NF                           </t>
  </si>
  <si>
    <t xml:space="preserve">5432 Principal Ave.            </t>
  </si>
  <si>
    <t xml:space="preserve">Mankato                        </t>
  </si>
  <si>
    <t xml:space="preserve">3456 N. Jupiter St             </t>
  </si>
  <si>
    <t xml:space="preserve">St Louis                       </t>
  </si>
  <si>
    <t xml:space="preserve">8765 W. Cordoba Way            </t>
  </si>
  <si>
    <t xml:space="preserve">Kansas City                    </t>
  </si>
  <si>
    <t xml:space="preserve">6789 82 Ave S.                 </t>
  </si>
  <si>
    <t xml:space="preserve">Place 123 Suite 3              </t>
  </si>
  <si>
    <t xml:space="preserve">76543 Commerical Street        </t>
  </si>
  <si>
    <t xml:space="preserve">Independence                   </t>
  </si>
  <si>
    <t xml:space="preserve">5678 Herman St.                </t>
  </si>
  <si>
    <t xml:space="preserve">8765 Barclay St.               </t>
  </si>
  <si>
    <t xml:space="preserve">Regina                         </t>
  </si>
  <si>
    <t xml:space="preserve">SK                           </t>
  </si>
  <si>
    <t xml:space="preserve">SSU Box 123                    </t>
  </si>
  <si>
    <t xml:space="preserve">Arlington Heights              </t>
  </si>
  <si>
    <t xml:space="preserve">Rural Route 123 Box 45G        </t>
  </si>
  <si>
    <t xml:space="preserve">McHenry                        </t>
  </si>
  <si>
    <t xml:space="preserve">3456 E. Main Parkway           </t>
  </si>
  <si>
    <t xml:space="preserve">Duluth                         </t>
  </si>
  <si>
    <t xml:space="preserve">2345 N. River Dr.              </t>
  </si>
  <si>
    <t xml:space="preserve">234 Phillip                    </t>
  </si>
  <si>
    <t xml:space="preserve">6543 N.E. Pusher Rd.           </t>
  </si>
  <si>
    <t xml:space="preserve">Detroit                        </t>
  </si>
  <si>
    <t xml:space="preserve">456 College Drive              </t>
  </si>
  <si>
    <t xml:space="preserve">Benton Harbor                  </t>
  </si>
  <si>
    <t xml:space="preserve">987 Chestnut Avenue            </t>
  </si>
  <si>
    <t xml:space="preserve">123 S.W.  49 Ave               </t>
  </si>
  <si>
    <t xml:space="preserve">5678 Broadway                  </t>
  </si>
  <si>
    <t xml:space="preserve">Saskatoon                      </t>
  </si>
  <si>
    <t xml:space="preserve">1234 2nd Street                </t>
  </si>
  <si>
    <t xml:space="preserve">4321 East Wisconsin Ave.       </t>
  </si>
  <si>
    <t xml:space="preserve">1234 S. Roberts St.            </t>
  </si>
  <si>
    <t xml:space="preserve">123 Domino St. N               </t>
  </si>
  <si>
    <t xml:space="preserve">Lansing                        </t>
  </si>
  <si>
    <t xml:space="preserve">987 Office Plaza Drive         </t>
  </si>
  <si>
    <t xml:space="preserve">87654 N 19th Avenue            </t>
  </si>
  <si>
    <t xml:space="preserve">123 N. Meriam Ave              </t>
  </si>
  <si>
    <t xml:space="preserve">432 12 Ave. North              </t>
  </si>
  <si>
    <t xml:space="preserve">123 Albert Ave                 </t>
  </si>
  <si>
    <t xml:space="preserve">Palmerston North               </t>
  </si>
  <si>
    <t xml:space="preserve">321 Park Drive                 </t>
  </si>
  <si>
    <t xml:space="preserve">Columbia                       </t>
  </si>
  <si>
    <t xml:space="preserve">9876 Stevens Street            </t>
  </si>
  <si>
    <t xml:space="preserve">123 Sugar Grove                </t>
  </si>
  <si>
    <t xml:space="preserve">456 19th Street S.             </t>
  </si>
  <si>
    <t xml:space="preserve">8765 66 Ave.                   </t>
  </si>
  <si>
    <t xml:space="preserve">Toronto                        </t>
  </si>
  <si>
    <t xml:space="preserve">ON                           </t>
  </si>
  <si>
    <t xml:space="preserve">P.O. Box 3343                  </t>
  </si>
  <si>
    <t xml:space="preserve">123 Alfred St                  </t>
  </si>
  <si>
    <t xml:space="preserve">456 Sherwood Park South        </t>
  </si>
  <si>
    <t xml:space="preserve">321 Garden Mall                </t>
  </si>
  <si>
    <t xml:space="preserve">Lincoln                        </t>
  </si>
  <si>
    <t xml:space="preserve">987 West Alaska Ave            </t>
  </si>
  <si>
    <t xml:space="preserve">567 W 7th St.                  </t>
  </si>
  <si>
    <t xml:space="preserve">One Microsoft Way              </t>
  </si>
  <si>
    <t xml:space="preserve">Redmond                        </t>
  </si>
  <si>
    <t xml:space="preserve">WA                           </t>
  </si>
  <si>
    <t xml:space="preserve">Suite 9876                     </t>
  </si>
  <si>
    <t xml:space="preserve">Suite 123                      </t>
  </si>
  <si>
    <t xml:space="preserve">Fond Du Lac                    </t>
  </si>
  <si>
    <t xml:space="preserve">1234 Burke                     </t>
  </si>
  <si>
    <t xml:space="preserve">3456 Arbutus St.               </t>
  </si>
  <si>
    <t xml:space="preserve">789 North Carlton Place        </t>
  </si>
  <si>
    <t xml:space="preserve">3456 North Calumet Avenue      </t>
  </si>
  <si>
    <t xml:space="preserve">5678 Horseshoe Way             </t>
  </si>
  <si>
    <t xml:space="preserve">Aurora                         </t>
  </si>
  <si>
    <t xml:space="preserve">8765 51 Ave S                  </t>
  </si>
  <si>
    <t xml:space="preserve">2345 Aukland St. West          </t>
  </si>
  <si>
    <t xml:space="preserve">789 University Ave             </t>
  </si>
  <si>
    <t xml:space="preserve">345 Industrial Drive           </t>
  </si>
  <si>
    <t xml:space="preserve">Beatrice                       </t>
  </si>
  <si>
    <t xml:space="preserve">Place 123, Suite 3             </t>
  </si>
  <si>
    <t xml:space="preserve">765 Curtis                     </t>
  </si>
  <si>
    <t xml:space="preserve">23456 Meridan St. N.E.         </t>
  </si>
  <si>
    <t xml:space="preserve">Green Bay                      </t>
  </si>
  <si>
    <t xml:space="preserve">456 Mineral Point Road         </t>
  </si>
  <si>
    <t xml:space="preserve">234 103 Ave.                   </t>
  </si>
  <si>
    <t xml:space="preserve">Ottawa                         </t>
  </si>
  <si>
    <t xml:space="preserve">123 Churchill Rd               </t>
  </si>
  <si>
    <t xml:space="preserve">23456 82 Ave.                  </t>
  </si>
  <si>
    <t xml:space="preserve">Ames                           </t>
  </si>
  <si>
    <t xml:space="preserve">678 Falcon                     </t>
  </si>
  <si>
    <t xml:space="preserve">Suite 13                       </t>
  </si>
  <si>
    <t xml:space="preserve">La Crosse                      </t>
  </si>
  <si>
    <t xml:space="preserve">765 West 24th Street           </t>
  </si>
  <si>
    <t xml:space="preserve">Peoria                         </t>
  </si>
  <si>
    <t xml:space="preserve">9876 112 St.                   </t>
  </si>
  <si>
    <t xml:space="preserve">Edmonton                       </t>
  </si>
  <si>
    <t xml:space="preserve">1234 SE Marine                 </t>
  </si>
  <si>
    <t xml:space="preserve">8765 9 St. W.                  </t>
  </si>
  <si>
    <t xml:space="preserve">456 17 St S                    </t>
  </si>
  <si>
    <t xml:space="preserve">Madison                        </t>
  </si>
  <si>
    <t xml:space="preserve">9876 Bernard St.               </t>
  </si>
  <si>
    <t>Go back to top by pressing CTRL+HOME. To start the tour, press CTRL+PAGE DOWN.</t>
  </si>
  <si>
    <t>Putting taught concepts to good use.</t>
  </si>
  <si>
    <t>Case Study 1</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</si>
  <si>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</si>
  <si>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Salary</t>
  </si>
  <si>
    <t>First Name</t>
  </si>
  <si>
    <t>Last Name</t>
  </si>
  <si>
    <t>Syed</t>
  </si>
  <si>
    <t>Catherine</t>
  </si>
  <si>
    <t>Kim</t>
  </si>
  <si>
    <t>Hazem</t>
  </si>
  <si>
    <t>Sam</t>
  </si>
  <si>
    <t>Humberto</t>
  </si>
  <si>
    <t>Gustavo</t>
  </si>
  <si>
    <t>Pilar</t>
  </si>
  <si>
    <t>Aaron</t>
  </si>
  <si>
    <t>Adam</t>
  </si>
  <si>
    <t>Alex</t>
  </si>
  <si>
    <t>Alexandra</t>
  </si>
  <si>
    <t>Allison</t>
  </si>
  <si>
    <t>Amanda</t>
  </si>
  <si>
    <t>Amber</t>
  </si>
  <si>
    <t>Andrea</t>
  </si>
  <si>
    <t>Angel</t>
  </si>
  <si>
    <t>Bailey</t>
  </si>
  <si>
    <t>Ben</t>
  </si>
  <si>
    <t>Blake</t>
  </si>
  <si>
    <t>Carla</t>
  </si>
  <si>
    <t>Carlos</t>
  </si>
  <si>
    <t>Charles</t>
  </si>
  <si>
    <t>Chloe</t>
  </si>
  <si>
    <t>Connor</t>
  </si>
  <si>
    <t>Courtney</t>
  </si>
  <si>
    <t>Dalton</t>
  </si>
  <si>
    <t>Devin</t>
  </si>
  <si>
    <t>Eduardo</t>
  </si>
  <si>
    <t>Edward</t>
  </si>
  <si>
    <t>Elijah</t>
  </si>
  <si>
    <t>Eric</t>
  </si>
  <si>
    <t>Evan</t>
  </si>
  <si>
    <t>Fernando</t>
  </si>
  <si>
    <t>Frances</t>
  </si>
  <si>
    <t>Gabriel</t>
  </si>
  <si>
    <t>Gabriella</t>
  </si>
  <si>
    <t>Gabrielle</t>
  </si>
  <si>
    <t>Hailey</t>
  </si>
  <si>
    <t>Haley</t>
  </si>
  <si>
    <t>Hunter</t>
  </si>
  <si>
    <t>Ian</t>
  </si>
  <si>
    <t>Isaac</t>
  </si>
  <si>
    <t>Isabella</t>
  </si>
  <si>
    <t>Isaiah</t>
  </si>
  <si>
    <t>Jack</t>
  </si>
  <si>
    <t>Jackson</t>
  </si>
  <si>
    <t>Jada</t>
  </si>
  <si>
    <t>James</t>
  </si>
  <si>
    <t>Jason</t>
  </si>
  <si>
    <t>Jay</t>
  </si>
  <si>
    <t>Jenna</t>
  </si>
  <si>
    <t>Jennifer</t>
  </si>
  <si>
    <t>Jeremy</t>
  </si>
  <si>
    <t>Jesse</t>
  </si>
  <si>
    <t>Jonathan</t>
  </si>
  <si>
    <t>Jordan</t>
  </si>
  <si>
    <t>Jose</t>
  </si>
  <si>
    <t>Julia</t>
  </si>
  <si>
    <t>Kaitlyn</t>
  </si>
  <si>
    <t>Katelyn</t>
  </si>
  <si>
    <t>Katherine</t>
  </si>
  <si>
    <t>Kaylee</t>
  </si>
  <si>
    <t>Kevin</t>
  </si>
  <si>
    <t>Kyle</t>
  </si>
  <si>
    <t>Logan</t>
  </si>
  <si>
    <t>Lucas</t>
  </si>
  <si>
    <t>Luis</t>
  </si>
  <si>
    <t>Luke</t>
  </si>
  <si>
    <t>Mackenzie</t>
  </si>
  <si>
    <t>Marcus</t>
  </si>
  <si>
    <t>Maria</t>
  </si>
  <si>
    <t>Mary</t>
  </si>
  <si>
    <t>Mason</t>
  </si>
  <si>
    <t>Miguel</t>
  </si>
  <si>
    <t>Morgan</t>
  </si>
  <si>
    <t>Natalie</t>
  </si>
  <si>
    <t>Nathan</t>
  </si>
  <si>
    <t>Noah</t>
  </si>
  <si>
    <t>Rebecca</t>
  </si>
  <si>
    <t>Richard</t>
  </si>
  <si>
    <t>Robert</t>
  </si>
  <si>
    <t>Samuel</t>
  </si>
  <si>
    <t>Sara</t>
  </si>
  <si>
    <t>Savannah</t>
  </si>
  <si>
    <t>Sean</t>
  </si>
  <si>
    <t>Seth</t>
  </si>
  <si>
    <t>Stephanie</t>
  </si>
  <si>
    <t>Sydney</t>
  </si>
  <si>
    <t>Thomas</t>
  </si>
  <si>
    <t>Wyatt</t>
  </si>
  <si>
    <t>Xavier</t>
  </si>
  <si>
    <t>Ronald</t>
  </si>
  <si>
    <t>Osarumwense</t>
  </si>
  <si>
    <t>Alisha</t>
  </si>
  <si>
    <t>Alan</t>
  </si>
  <si>
    <t>Jamie</t>
  </si>
  <si>
    <t>StaffID</t>
  </si>
  <si>
    <t>Jon</t>
  </si>
  <si>
    <t>Jorge</t>
  </si>
  <si>
    <t>Karen</t>
  </si>
  <si>
    <t>Kelli</t>
  </si>
  <si>
    <t>Kelvin</t>
  </si>
  <si>
    <t>Kristen</t>
  </si>
  <si>
    <t>Krystal</t>
  </si>
  <si>
    <t>Lacey</t>
  </si>
  <si>
    <t>Laura</t>
  </si>
  <si>
    <t>Leah</t>
  </si>
  <si>
    <t>Lisa</t>
  </si>
  <si>
    <t>Louis</t>
  </si>
  <si>
    <t>Mandy</t>
  </si>
  <si>
    <t>Margaret</t>
  </si>
  <si>
    <t>Martha</t>
  </si>
  <si>
    <t>Micah</t>
  </si>
  <si>
    <t>Omar</t>
  </si>
  <si>
    <t>Rafael</t>
  </si>
  <si>
    <t>Ramon</t>
  </si>
  <si>
    <t>Randy</t>
  </si>
  <si>
    <t>Roger</t>
  </si>
  <si>
    <t>Rosa</t>
  </si>
  <si>
    <t>Sandra</t>
  </si>
  <si>
    <t>Shannon</t>
  </si>
  <si>
    <t>Stacey</t>
  </si>
  <si>
    <t>Steve</t>
  </si>
  <si>
    <t>Susan</t>
  </si>
  <si>
    <t>Suzanne</t>
  </si>
  <si>
    <t>Tamara</t>
  </si>
  <si>
    <t>Tiffany</t>
  </si>
  <si>
    <t>Trisha</t>
  </si>
  <si>
    <t>Valerie</t>
  </si>
  <si>
    <t>Vincent</t>
  </si>
  <si>
    <t>Warren</t>
  </si>
  <si>
    <t>Wesley</t>
  </si>
  <si>
    <t>Alejandro</t>
  </si>
  <si>
    <t>Alvin</t>
  </si>
  <si>
    <t>Amy</t>
  </si>
  <si>
    <t>Arturo</t>
  </si>
  <si>
    <t>Autumn</t>
  </si>
  <si>
    <t>Barbara</t>
  </si>
  <si>
    <t>Bianca</t>
  </si>
  <si>
    <t>Brent</t>
  </si>
  <si>
    <t>Brittney</t>
  </si>
  <si>
    <t>Candice</t>
  </si>
  <si>
    <t>Cedric</t>
  </si>
  <si>
    <t>Christy</t>
  </si>
  <si>
    <t>Clarence</t>
  </si>
  <si>
    <t>Clayton</t>
  </si>
  <si>
    <t>Colin</t>
  </si>
  <si>
    <t>Colleen</t>
  </si>
  <si>
    <t>Crystal</t>
  </si>
  <si>
    <t>Damien</t>
  </si>
  <si>
    <t>Dawn</t>
  </si>
  <si>
    <t>Dennis</t>
  </si>
  <si>
    <t>Edwin</t>
  </si>
  <si>
    <t>Erica</t>
  </si>
  <si>
    <t>Ernest</t>
  </si>
  <si>
    <t>Eugene</t>
  </si>
  <si>
    <t>Franklin</t>
  </si>
  <si>
    <t>Gilbert</t>
  </si>
  <si>
    <t>Glenn</t>
  </si>
  <si>
    <t>Heather</t>
  </si>
  <si>
    <t>Jaclyn</t>
  </si>
  <si>
    <t>Jake</t>
  </si>
  <si>
    <t>Jeffery</t>
  </si>
  <si>
    <t>Jenny</t>
  </si>
  <si>
    <t>Jessie</t>
  </si>
  <si>
    <t>Marshall</t>
  </si>
  <si>
    <t>Ronnie</t>
  </si>
  <si>
    <t>Todd</t>
  </si>
  <si>
    <t>Willie</t>
  </si>
  <si>
    <t>MaritalStatus</t>
  </si>
  <si>
    <t>Gender</t>
  </si>
  <si>
    <t>S</t>
  </si>
  <si>
    <t>M</t>
  </si>
  <si>
    <t>F</t>
  </si>
  <si>
    <t>Payment status</t>
  </si>
  <si>
    <t xml:space="preserve">                                                        HacMarine Dataset</t>
  </si>
  <si>
    <t xml:space="preserve">   DoB</t>
  </si>
  <si>
    <t>Full Name</t>
  </si>
  <si>
    <t>Age</t>
  </si>
  <si>
    <t>Today's date</t>
  </si>
  <si>
    <t>Hire Date</t>
  </si>
  <si>
    <t>Payment status 2</t>
  </si>
  <si>
    <t>Age Range</t>
  </si>
  <si>
    <t>Work Experience</t>
  </si>
  <si>
    <t>Tax</t>
  </si>
  <si>
    <t>Tax Rate</t>
  </si>
  <si>
    <t>Hire Months</t>
  </si>
  <si>
    <t>40-50</t>
  </si>
  <si>
    <t>50-60</t>
  </si>
  <si>
    <t>60-70</t>
  </si>
  <si>
    <t>70-80</t>
  </si>
  <si>
    <t>80-90</t>
  </si>
  <si>
    <t>Grand Total</t>
  </si>
  <si>
    <t>Staff ID</t>
  </si>
  <si>
    <t>Alan Evan</t>
  </si>
  <si>
    <t>Alejandro Fernando</t>
  </si>
  <si>
    <t>Alisha Frances</t>
  </si>
  <si>
    <t>Alvin Gabriel</t>
  </si>
  <si>
    <t>Amy Gabriella</t>
  </si>
  <si>
    <t>Arturo Gabrielle</t>
  </si>
  <si>
    <t>Autumn Hailey</t>
  </si>
  <si>
    <t>Barbara Haley</t>
  </si>
  <si>
    <t>Bianca Hunter</t>
  </si>
  <si>
    <t>Brent Ian</t>
  </si>
  <si>
    <t>Brittney Isaac</t>
  </si>
  <si>
    <t>Candice Isabella</t>
  </si>
  <si>
    <t>Cedric Isaiah</t>
  </si>
  <si>
    <t>Christy Jack</t>
  </si>
  <si>
    <t>Clarence Jackson</t>
  </si>
  <si>
    <t>Clayton Jada</t>
  </si>
  <si>
    <t>Colin James</t>
  </si>
  <si>
    <t>Colleen Jason</t>
  </si>
  <si>
    <t>Crystal Jay</t>
  </si>
  <si>
    <t>Damien Jay</t>
  </si>
  <si>
    <t>Dawn Jenna</t>
  </si>
  <si>
    <t>Dennis Jennifer</t>
  </si>
  <si>
    <t>Edwin Jeremy</t>
  </si>
  <si>
    <t>Erica Jesse</t>
  </si>
  <si>
    <t>Ernest Jonathan</t>
  </si>
  <si>
    <t>Eugene Jordan</t>
  </si>
  <si>
    <t>Franklin Jordan</t>
  </si>
  <si>
    <t>Gilbert Jose</t>
  </si>
  <si>
    <t>Glenn Julia</t>
  </si>
  <si>
    <t>Heather Kaitlyn</t>
  </si>
  <si>
    <t>Jaclyn Katelyn</t>
  </si>
  <si>
    <t>Jake Katherine</t>
  </si>
  <si>
    <t>Jamie Kaylee</t>
  </si>
  <si>
    <t>Jeffery Kevin</t>
  </si>
  <si>
    <t>Jenny Kyle</t>
  </si>
  <si>
    <t>Jessie Logan</t>
  </si>
  <si>
    <t>Jon Lucas</t>
  </si>
  <si>
    <t>Jon Syed</t>
  </si>
  <si>
    <t>Jorge Catherine</t>
  </si>
  <si>
    <t>Jorge Luis</t>
  </si>
  <si>
    <t>Karen Kim</t>
  </si>
  <si>
    <t>Karen Luke</t>
  </si>
  <si>
    <t>Kelli Kim</t>
  </si>
  <si>
    <t>Kelli Mackenzie</t>
  </si>
  <si>
    <t>Kelvin Kim</t>
  </si>
  <si>
    <t>Kelvin Marcus</t>
  </si>
  <si>
    <t>Kristen Hazem</t>
  </si>
  <si>
    <t>Krystal Maria</t>
  </si>
  <si>
    <t>Krystal Sam</t>
  </si>
  <si>
    <t>Lacey Humberto</t>
  </si>
  <si>
    <t>Lacey Mary</t>
  </si>
  <si>
    <t>Laura Gustavo</t>
  </si>
  <si>
    <t>Laura Mason</t>
  </si>
  <si>
    <t>Leah Miguel</t>
  </si>
  <si>
    <t>Leah Pilar</t>
  </si>
  <si>
    <t>Lisa Morgan</t>
  </si>
  <si>
    <t>Lisa Pilar</t>
  </si>
  <si>
    <t>Louis Aaron</t>
  </si>
  <si>
    <t>Louis Natalie</t>
  </si>
  <si>
    <t>Mandy Adam</t>
  </si>
  <si>
    <t>Margaret Alex</t>
  </si>
  <si>
    <t>Margaret Nathan</t>
  </si>
  <si>
    <t>Marshall Noah</t>
  </si>
  <si>
    <t>Martha Alexandra</t>
  </si>
  <si>
    <t>Micah Allison</t>
  </si>
  <si>
    <t>Micah Rebecca</t>
  </si>
  <si>
    <t>Omar Amanda</t>
  </si>
  <si>
    <t>Omar Richard</t>
  </si>
  <si>
    <t>Rafael Amber</t>
  </si>
  <si>
    <t>Rafael Robert</t>
  </si>
  <si>
    <t>Ramon Andrea</t>
  </si>
  <si>
    <t>Randy Angel</t>
  </si>
  <si>
    <t>Randy Samuel</t>
  </si>
  <si>
    <t>Roger Bailey</t>
  </si>
  <si>
    <t>Roger Sara</t>
  </si>
  <si>
    <t>Ronnie Savannah</t>
  </si>
  <si>
    <t>Rosa Ben</t>
  </si>
  <si>
    <t>Sandra Blake</t>
  </si>
  <si>
    <t>Sandra Sean</t>
  </si>
  <si>
    <t>Shannon Carla</t>
  </si>
  <si>
    <t>Shannon Seth</t>
  </si>
  <si>
    <t>Stacey Carlos</t>
  </si>
  <si>
    <t>Stacey Stephanie</t>
  </si>
  <si>
    <t>Steve Charles</t>
  </si>
  <si>
    <t>Susan Chloe</t>
  </si>
  <si>
    <t>Susan Sydney</t>
  </si>
  <si>
    <t>Suzanne Connor</t>
  </si>
  <si>
    <t>Suzanne Thomas</t>
  </si>
  <si>
    <t>Tamara Courtney</t>
  </si>
  <si>
    <t>Tamara Wyatt</t>
  </si>
  <si>
    <t>Tiffany Dalton</t>
  </si>
  <si>
    <t>Tiffany Xavier</t>
  </si>
  <si>
    <t>Todd Ronald</t>
  </si>
  <si>
    <t>Trisha Devin</t>
  </si>
  <si>
    <t>Valerie Eduardo</t>
  </si>
  <si>
    <t>Valerie Osarumwense</t>
  </si>
  <si>
    <t>Vincent Edward</t>
  </si>
  <si>
    <t>Vincent Samuel</t>
  </si>
  <si>
    <t>Warren Elijah</t>
  </si>
  <si>
    <t>Wesley Eric</t>
  </si>
  <si>
    <t>Wesley James</t>
  </si>
  <si>
    <t>Willie Robert</t>
  </si>
  <si>
    <t>Employee</t>
  </si>
  <si>
    <t>sacked</t>
  </si>
  <si>
    <t>Count of employee</t>
  </si>
  <si>
    <t>Paid</t>
  </si>
  <si>
    <t>Unpaid</t>
  </si>
  <si>
    <t>Payment Status</t>
  </si>
  <si>
    <t>Sum of Age</t>
  </si>
  <si>
    <t xml:space="preserve"> Age</t>
  </si>
  <si>
    <t>Sacked</t>
  </si>
  <si>
    <t>December</t>
  </si>
  <si>
    <t>January</t>
  </si>
  <si>
    <t>February</t>
  </si>
  <si>
    <t>May</t>
  </si>
  <si>
    <t>November</t>
  </si>
  <si>
    <t>March</t>
  </si>
  <si>
    <t>June</t>
  </si>
  <si>
    <t>Count of Employee</t>
  </si>
  <si>
    <t xml:space="preserve"> </t>
  </si>
  <si>
    <t>Count of Paid</t>
  </si>
  <si>
    <t>Count of Unpaid</t>
  </si>
  <si>
    <t>UnPaid</t>
  </si>
  <si>
    <t>Sum of Salary</t>
  </si>
  <si>
    <t>Sum of Tax</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</si>
</sst>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C09]#,##0.00"/>
  </numFmts>
  <fonts count="7">
    <font>
      <sz val="11"/>
      <color theme="1"/>
      <name val="Aptos Narrow"/>
      <family val="2"/>
      <scheme val="minor"/>
    </font>
    <font>
      <sz val="17"/>
      <color theme="0"/>
      <name val="Aptos Narrow"/>
      <family val="2"/>
      <scheme val="minor"/>
    </font>
    <font>
      <sz val="11"/>
      <color rgb="FF0B744D"/>
      <name val="Aptos Narrow"/>
      <family val="2"/>
      <scheme val="minor"/>
    </font>
    <font>
      <sz val="72"/>
      <color theme="0"/>
      <name val="Aptos Display"/>
      <family val="2"/>
      <scheme val="major"/>
    </font>
    <font>
      <sz val="8"/>
      <name val="Aptos Narrow"/>
      <family val="2"/>
      <scheme val="minor"/>
    </font>
    <font>
      <b/>
      <sz val="11"/>
      <color theme="1"/>
      <name val="Aptos Narrow"/>
      <scheme val="minor"/>
    </font>
    <font>
      <sz val="11"/>
      <color theme="1"/>
      <name val="Aptos Narrow"/>
      <family val="2"/>
      <scheme val="minor"/>
    </font>
  </fonts>
  <fills count="5">
    <fill>
      <patternFill patternType="none"/>
    </fill>
    <fill>
      <patternFill patternType="gray125"/>
    </fill>
    <fill>
      <patternFill patternType="solid">
        <fgColor rgb="FF217346"/>
        <bgColor indexed="64"/>
      </patternFill>
    </fill>
    <fill>
      <patternFill patternType="solid">
        <fgColor theme="6" tint="0.79998168889431442"/>
        <bgColor indexed="64"/>
      </patternFill>
    </fill>
    <fill>
      <patternFill patternType="solid">
        <fgColor theme="6" tint="0.59999389629810485"/>
        <bgColor indexed="64"/>
      </patternFill>
    </fill>
  </fills>
  <borders count="1">
    <border>
      <left/>
      <right/>
      <top/>
      <bottom/>
      <diagonal/>
    </border>
  </borders>
  <cellStyleXfs count="6">
    <xf numFmtId="0" fontId="0" fillId="0" borderId="0"/>
    <xf numFmtId="0" fontId="1" fillId="2" borderId="0" applyNumberFormat="0" applyProtection="0">
      <alignment horizontal="left" wrapText="1" indent="4"/>
    </xf>
    <xf numFmtId="0" fontId="2" fillId="2" borderId="0" applyNumberFormat="0" applyProtection="0">
      <alignment horizontal="left" wrapText="1" indent="4"/>
    </xf>
    <xf numFmtId="0" fontId="3" fillId="2" borderId="0" applyNumberFormat="0" applyBorder="0" applyProtection="0">
      <alignment horizontal="left" indent="1"/>
    </xf>
    <xf numFmtId="0" fontId="2" fillId="0" borderId="0" applyFill="0" applyBorder="0">
      <alignment wrapText="1"/>
    </xf>
    <xf numFmtId="44" fontId="6" fillId="0" borderId="0" applyFont="0" applyFill="0" applyBorder="0" applyAlignment="0" applyProtection="0"/>
  </cellStyleXfs>
  <cellXfs count="19">
    <xf numFmtId="0" fontId="0" fillId="0" borderId="0" xfId="0"/>
    <xf numFmtId="0" fontId="1" fillId="2" borderId="0" xfId="1">
      <alignment horizontal="left" wrapText="1" indent="4"/>
    </xf>
    <xf numFmtId="0" fontId="2" fillId="2" borderId="0" xfId="2">
      <alignment horizontal="left" wrapText="1" indent="4"/>
    </xf>
    <xf numFmtId="0" fontId="3" fillId="2" borderId="0" xfId="3">
      <alignment horizontal="left" indent="1"/>
    </xf>
    <xf numFmtId="0" fontId="2" fillId="2" borderId="0" xfId="4" applyFill="1">
      <alignment wrapText="1"/>
    </xf>
    <xf numFmtId="14" fontId="0" fillId="0" borderId="0" xfId="0" applyNumberFormat="1"/>
    <xf numFmtId="164" fontId="0" fillId="0" borderId="0" xfId="0" applyNumberFormat="1"/>
    <xf numFmtId="0" fontId="5" fillId="3" borderId="0" xfId="0" applyFont="1" applyFill="1"/>
    <xf numFmtId="2" fontId="0" fillId="0" borderId="0" xfId="0" applyNumberForma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0" fontId="0" fillId="4" borderId="0" xfId="0" applyFill="1"/>
    <xf numFmtId="14" fontId="0" fillId="4" borderId="0" xfId="0" applyNumberFormat="1" applyFill="1"/>
    <xf numFmtId="164" fontId="0" fillId="4" borderId="0" xfId="0" applyNumberFormat="1" applyFill="1"/>
    <xf numFmtId="44" fontId="0" fillId="0" borderId="0" xfId="5" applyNumberFormat="1" applyFont="1"/>
  </cellXfs>
  <cellStyles count="6">
    <cellStyle name="Currency" xfId="5" builtinId="4"/>
    <cellStyle name="Heading 1 3" xfId="1"/>
    <cellStyle name="Heading 2 3" xfId="2"/>
    <cellStyle name="Normal" xfId="0" builtinId="0"/>
    <cellStyle name="Start Text" xfId="4"/>
    <cellStyle name="Title 3" xfId="3"/>
  </cellStyles>
  <dxfs count="38">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Labs scholardna.xlsx]Sheet1!PivotTable2</c:name>
    <c:fmtId val="8"/>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Age group</a:t>
            </a:r>
          </a:p>
        </c:rich>
      </c:tx>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9444444444444448E-2"/>
          <c:y val="0.27856262758821815"/>
          <c:w val="0.80088888888888887"/>
          <c:h val="0.52941746864975214"/>
        </c:manualLayout>
      </c:layout>
      <c:barChart>
        <c:barDir val="col"/>
        <c:grouping val="clustered"/>
        <c:varyColors val="0"/>
        <c:ser>
          <c:idx val="0"/>
          <c:order val="0"/>
          <c:tx>
            <c:strRef>
              <c:f>Sheet1!$B$3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Sheet1!$A$4:$A$9</c:f>
              <c:strCache>
                <c:ptCount val="5"/>
                <c:pt idx="0">
                  <c:v>40-50</c:v>
                </c:pt>
                <c:pt idx="1">
                  <c:v>50-60</c:v>
                </c:pt>
                <c:pt idx="2">
                  <c:v>60-70</c:v>
                </c:pt>
                <c:pt idx="3">
                  <c:v>70-80</c:v>
                </c:pt>
                <c:pt idx="4">
                  <c:v>80-90</c:v>
                </c:pt>
              </c:strCache>
            </c:strRef>
          </c:cat>
          <c:val>
            <c:numRef>
              <c:f>Sheet1!$B$4:$B$9</c:f>
              <c:numCache>
                <c:formatCode>General</c:formatCode>
                <c:ptCount val="5"/>
                <c:pt idx="0">
                  <c:v>32</c:v>
                </c:pt>
                <c:pt idx="1">
                  <c:v>31</c:v>
                </c:pt>
                <c:pt idx="2">
                  <c:v>22</c:v>
                </c:pt>
                <c:pt idx="3">
                  <c:v>15</c:v>
                </c:pt>
                <c:pt idx="4">
                  <c:v>2</c:v>
                </c:pt>
              </c:numCache>
            </c:numRef>
          </c:val>
        </c:ser>
        <c:dLbls>
          <c:dLblPos val="inEnd"/>
          <c:showLegendKey val="0"/>
          <c:showVal val="1"/>
          <c:showCatName val="0"/>
          <c:showSerName val="0"/>
          <c:showPercent val="0"/>
          <c:showBubbleSize val="0"/>
        </c:dLbls>
        <c:gapWidth val="41"/>
        <c:axId val="346985232"/>
        <c:axId val="347161480"/>
      </c:barChart>
      <c:catAx>
        <c:axId val="34698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7161480"/>
        <c:crosses val="autoZero"/>
        <c:auto val="1"/>
        <c:lblAlgn val="ctr"/>
        <c:lblOffset val="100"/>
        <c:noMultiLvlLbl val="0"/>
      </c:catAx>
      <c:valAx>
        <c:axId val="347161480"/>
        <c:scaling>
          <c:orientation val="minMax"/>
        </c:scaling>
        <c:delete val="1"/>
        <c:axPos val="l"/>
        <c:numFmt formatCode="General" sourceLinked="1"/>
        <c:majorTickMark val="none"/>
        <c:minorTickMark val="none"/>
        <c:tickLblPos val="nextTo"/>
        <c:crossAx val="346985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Labs scholardna.xlsx]Sheet1!PivotTable4</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Staffing</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315835520559929E-2"/>
              <c:y val="0.12127369495479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877952755905455E-2"/>
              <c:y val="0.2270665645960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09689413823273"/>
              <c:y val="0.109446267133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47309711286095"/>
              <c:y val="-0.11379884806065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47309711286095"/>
              <c:y val="-0.11379884806065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09689413823273"/>
              <c:y val="0.109446267133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877952755905455E-2"/>
              <c:y val="0.2270665645960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315835520559929E-2"/>
              <c:y val="0.12127369495479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47309711286095"/>
              <c:y val="-0.11379884806065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409689413823273"/>
              <c:y val="0.109446267133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877952755905455E-2"/>
              <c:y val="0.227066564596092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315835520559929E-2"/>
              <c:y val="0.121273694954797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Sheet1!$L$3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0.12647309711286095"/>
                  <c:y val="-0.11379884806065908"/>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1"/>
              <c:layout>
                <c:manualLayout>
                  <c:x val="0.10409689413823273"/>
                  <c:y val="0.109446267133275"/>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2"/>
              <c:layout>
                <c:manualLayout>
                  <c:x val="6.7877952755905455E-2"/>
                  <c:y val="0.22706656459609215"/>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dLbl>
              <c:idx val="3"/>
              <c:layout>
                <c:manualLayout>
                  <c:x val="1.4315835520559929E-2"/>
                  <c:y val="0.12127369495479727"/>
                </c:manualLayout>
              </c:layout>
              <c:dLblPos val="bestFi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Sheet1!$K$4:$K$8</c:f>
              <c:strCache>
                <c:ptCount val="4"/>
                <c:pt idx="0">
                  <c:v>USA                  </c:v>
                </c:pt>
                <c:pt idx="1">
                  <c:v>Canada               </c:v>
                </c:pt>
                <c:pt idx="2">
                  <c:v>Australia            </c:v>
                </c:pt>
                <c:pt idx="3">
                  <c:v>New Zealand          </c:v>
                </c:pt>
              </c:strCache>
            </c:strRef>
          </c:cat>
          <c:val>
            <c:numRef>
              <c:f>Sheet1!$L$4:$L$8</c:f>
              <c:numCache>
                <c:formatCode>General</c:formatCode>
                <c:ptCount val="4"/>
                <c:pt idx="0">
                  <c:v>74</c:v>
                </c:pt>
                <c:pt idx="1">
                  <c:v>19</c:v>
                </c:pt>
                <c:pt idx="2">
                  <c:v>7</c:v>
                </c:pt>
                <c:pt idx="3">
                  <c:v>2</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0">
                <a:latin typeface="Times New Roman" panose="02020603050405020304" pitchFamily="18" charset="0"/>
                <a:cs typeface="Times New Roman" panose="02020603050405020304" pitchFamily="18" charset="0"/>
              </a:rPr>
              <a:t>Payment</a:t>
            </a:r>
            <a:r>
              <a:rPr lang="en-US" sz="1400" b="0" baseline="0">
                <a:latin typeface="Times New Roman" panose="02020603050405020304" pitchFamily="18" charset="0"/>
                <a:cs typeface="Times New Roman" panose="02020603050405020304" pitchFamily="18" charset="0"/>
              </a:rPr>
              <a:t> Status</a:t>
            </a:r>
            <a:endParaRPr lang="en-US" sz="1400" b="0">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89232B1-75EC-482A-9D75-92AE2FA4BC03}" type="VALUE">
                  <a:rPr lang="en-US" b="0"/>
                  <a:pPr>
                    <a:defRPr sz="900" b="1" i="0" u="none" strike="noStrike" kern="1200" baseline="0">
                      <a:solidFill>
                        <a:schemeClr val="lt1"/>
                      </a:solidFill>
                      <a:latin typeface="+mn-lt"/>
                      <a:ea typeface="+mn-ea"/>
                      <a:cs typeface="+mn-cs"/>
                    </a:defRPr>
                  </a:pPr>
                  <a:t>[VALUE]</a:t>
                </a:fld>
                <a:endParaRPr lang="en-US"/>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C6C94DE-3CED-4185-8DAE-99FA596339EA}" type="VALUE">
                  <a:rPr lang="en-US" b="1"/>
                  <a:pPr>
                    <a:defRPr sz="900" b="1" i="0" u="none" strike="noStrike" kern="1200" baseline="0">
                      <a:solidFill>
                        <a:schemeClr val="lt1"/>
                      </a:solidFill>
                      <a:latin typeface="+mn-lt"/>
                      <a:ea typeface="+mn-ea"/>
                      <a:cs typeface="+mn-cs"/>
                    </a:defRPr>
                  </a:pPr>
                  <a:t>[VALUE]</a:t>
                </a:fld>
                <a:endParaRPr lang="en-US"/>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89232B1-75EC-482A-9D75-92AE2FA4BC03}" type="VALUE">
                  <a:rPr lang="en-US" b="0"/>
                  <a:pPr>
                    <a:defRPr sz="900" b="1" i="0" u="none" strike="noStrike" kern="1200" baseline="0">
                      <a:solidFill>
                        <a:schemeClr val="lt1"/>
                      </a:solidFill>
                      <a:latin typeface="+mn-lt"/>
                      <a:ea typeface="+mn-ea"/>
                      <a:cs typeface="+mn-cs"/>
                    </a:defRPr>
                  </a:pPr>
                  <a:t>[VALUE]</a:t>
                </a:fld>
                <a:endParaRPr lang="en-US"/>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C6C94DE-3CED-4185-8DAE-99FA596339EA}" type="VALUE">
                  <a:rPr lang="en-US" b="1"/>
                  <a:pPr>
                    <a:defRPr sz="900" b="1" i="0" u="none" strike="noStrike" kern="1200" baseline="0">
                      <a:solidFill>
                        <a:schemeClr val="lt1"/>
                      </a:solidFill>
                      <a:latin typeface="+mn-lt"/>
                      <a:ea typeface="+mn-ea"/>
                      <a:cs typeface="+mn-cs"/>
                    </a:defRPr>
                  </a:pPr>
                  <a:t>[VALUE]</a:t>
                </a:fld>
                <a:endParaRPr lang="en-US"/>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B89232B1-75EC-482A-9D75-92AE2FA4BC03}" type="VALUE">
                  <a:rPr lang="en-US" b="0"/>
                  <a:pPr>
                    <a:defRPr sz="900" b="1" i="0" u="none" strike="noStrike" kern="1200" baseline="0">
                      <a:solidFill>
                        <a:schemeClr val="lt1"/>
                      </a:solidFill>
                      <a:latin typeface="+mn-lt"/>
                      <a:ea typeface="+mn-ea"/>
                      <a:cs typeface="+mn-cs"/>
                    </a:defRPr>
                  </a:pPr>
                  <a:t>[VALUE]</a:t>
                </a:fld>
                <a:endParaRPr lang="en-US"/>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C6C94DE-3CED-4185-8DAE-99FA596339EA}" type="VALUE">
                  <a:rPr lang="en-US" b="1"/>
                  <a:pPr>
                    <a:defRPr sz="900" b="1" i="0" u="none" strike="noStrike" kern="1200" baseline="0">
                      <a:solidFill>
                        <a:schemeClr val="lt1"/>
                      </a:solidFill>
                      <a:latin typeface="+mn-lt"/>
                      <a:ea typeface="+mn-ea"/>
                      <a:cs typeface="+mn-cs"/>
                    </a:defRPr>
                  </a:pPr>
                  <a:t>[VALUE]</a:t>
                </a:fld>
                <a:endParaRPr lang="en-US"/>
              </a:p>
            </c:rich>
          </c:tx>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2"/>
              <c:pt idx="0">
                <c:v>Paid</c:v>
              </c:pt>
              <c:pt idx="1">
                <c:v>Unpaid</c:v>
              </c:pt>
            </c:strLit>
          </c:cat>
          <c:val>
            <c:numLit>
              <c:formatCode>General</c:formatCode>
              <c:ptCount val="2"/>
              <c:pt idx="0">
                <c:v>11471</c:v>
              </c:pt>
              <c:pt idx="1">
                <c:v>10430</c:v>
              </c:pt>
            </c:numLit>
          </c:val>
          <c:smooth val="0"/>
        </c:ser>
        <c:dLbls>
          <c:dLblPos val="ctr"/>
          <c:showLegendKey val="0"/>
          <c:showVal val="1"/>
          <c:showCatName val="0"/>
          <c:showSerName val="0"/>
          <c:showPercent val="0"/>
          <c:showBubbleSize val="0"/>
        </c:dLbls>
        <c:marker val="1"/>
        <c:smooth val="0"/>
        <c:axId val="130465480"/>
        <c:axId val="347641040"/>
      </c:lineChart>
      <c:catAx>
        <c:axId val="130465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7641040"/>
        <c:crosses val="autoZero"/>
        <c:auto val="1"/>
        <c:lblAlgn val="ctr"/>
        <c:lblOffset val="100"/>
        <c:noMultiLvlLbl val="0"/>
      </c:catAx>
      <c:valAx>
        <c:axId val="347641040"/>
        <c:scaling>
          <c:orientation val="minMax"/>
        </c:scaling>
        <c:delete val="1"/>
        <c:axPos val="l"/>
        <c:numFmt formatCode="General" sourceLinked="1"/>
        <c:majorTickMark val="none"/>
        <c:minorTickMark val="none"/>
        <c:tickLblPos val="nextTo"/>
        <c:crossAx val="1304654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Labs scholardna.xlsx]Sheet1!PivotTable7</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Hiring</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Sheet1!$O$12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Sheet1!$N$13:$N$20</c:f>
              <c:strCache>
                <c:ptCount val="7"/>
                <c:pt idx="0">
                  <c:v>January</c:v>
                </c:pt>
                <c:pt idx="1">
                  <c:v>February</c:v>
                </c:pt>
                <c:pt idx="2">
                  <c:v>March</c:v>
                </c:pt>
                <c:pt idx="3">
                  <c:v>May</c:v>
                </c:pt>
                <c:pt idx="4">
                  <c:v>June</c:v>
                </c:pt>
                <c:pt idx="5">
                  <c:v>November</c:v>
                </c:pt>
                <c:pt idx="6">
                  <c:v>December</c:v>
                </c:pt>
              </c:strCache>
            </c:strRef>
          </c:cat>
          <c:val>
            <c:numRef>
              <c:f>Sheet1!$O$13:$O$20</c:f>
              <c:numCache>
                <c:formatCode>General</c:formatCode>
                <c:ptCount val="7"/>
                <c:pt idx="0">
                  <c:v>31</c:v>
                </c:pt>
                <c:pt idx="1">
                  <c:v>28</c:v>
                </c:pt>
                <c:pt idx="2">
                  <c:v>10</c:v>
                </c:pt>
                <c:pt idx="3">
                  <c:v>1</c:v>
                </c:pt>
                <c:pt idx="4">
                  <c:v>1</c:v>
                </c:pt>
                <c:pt idx="5">
                  <c:v>1</c:v>
                </c:pt>
                <c:pt idx="6">
                  <c:v>30</c:v>
                </c:pt>
              </c:numCache>
            </c:numRef>
          </c:val>
          <c:smooth val="0"/>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48315464"/>
        <c:axId val="348315848"/>
      </c:lineChart>
      <c:catAx>
        <c:axId val="3483154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48315848"/>
        <c:crosses val="autoZero"/>
        <c:auto val="1"/>
        <c:lblAlgn val="ctr"/>
        <c:lblOffset val="100"/>
        <c:noMultiLvlLbl val="0"/>
      </c:catAx>
      <c:valAx>
        <c:axId val="348315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83154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hyperlink" Target="#Customer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161925" y="4333876"/>
    <xdr:ext cx="1879313" cy="996949"/>
    <xdr:pic>
      <xdr:nvPicPr>
        <xdr:cNvPr id="2" name="Picture 1" descr="Excel logo">
          <a:extLst>
            <a:ext uri="{FF2B5EF4-FFF2-40B4-BE49-F238E27FC236}">
              <a16:creationId xmlns="" xmlns:a16="http://schemas.microsoft.com/office/drawing/2014/main" id="{37D85E1B-477A-4F33-B574-2A6B5E9304ED}"/>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absolute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 xmlns:a16="http://schemas.microsoft.com/office/drawing/2014/main" id="{5DA8A0EC-79D9-4A36-AC10-A56BDCD41988}"/>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0</xdr:col>
      <xdr:colOff>581025</xdr:colOff>
      <xdr:row>8</xdr:row>
      <xdr:rowOff>114299</xdr:rowOff>
    </xdr:from>
    <xdr:to>
      <xdr:col>7</xdr:col>
      <xdr:colOff>247650</xdr:colOff>
      <xdr:row>23</xdr:row>
      <xdr:rowOff>114300</xdr:rowOff>
    </xdr:to>
    <xdr:sp macro="" textlink="">
      <xdr:nvSpPr>
        <xdr:cNvPr id="2" name="Rounded Rectangle 1"/>
        <xdr:cNvSpPr/>
      </xdr:nvSpPr>
      <xdr:spPr>
        <a:xfrm>
          <a:off x="581025" y="1562099"/>
          <a:ext cx="4467225" cy="2714626"/>
        </a:xfrm>
        <a:prstGeom prst="roundRect">
          <a:avLst/>
        </a:prstGeom>
        <a:ln>
          <a:solidFill>
            <a:srgbClr val="00B0F0"/>
          </a:solidFill>
        </a:ln>
        <a:effectLst>
          <a:glow rad="1397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161925</xdr:colOff>
      <xdr:row>8</xdr:row>
      <xdr:rowOff>133349</xdr:rowOff>
    </xdr:from>
    <xdr:to>
      <xdr:col>14</xdr:col>
      <xdr:colOff>514350</xdr:colOff>
      <xdr:row>23</xdr:row>
      <xdr:rowOff>133350</xdr:rowOff>
    </xdr:to>
    <xdr:sp macro="" textlink="">
      <xdr:nvSpPr>
        <xdr:cNvPr id="3" name="Rounded Rectangle 2"/>
        <xdr:cNvSpPr/>
      </xdr:nvSpPr>
      <xdr:spPr>
        <a:xfrm>
          <a:off x="5648325" y="1581149"/>
          <a:ext cx="4467225" cy="2714626"/>
        </a:xfrm>
        <a:prstGeom prst="roundRect">
          <a:avLst/>
        </a:prstGeom>
        <a:ln>
          <a:solidFill>
            <a:srgbClr val="00B0F0"/>
          </a:solidFill>
        </a:ln>
        <a:effectLst>
          <a:glow rad="1397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180976</xdr:colOff>
      <xdr:row>1</xdr:row>
      <xdr:rowOff>19050</xdr:rowOff>
    </xdr:from>
    <xdr:to>
      <xdr:col>11</xdr:col>
      <xdr:colOff>152400</xdr:colOff>
      <xdr:row>6</xdr:row>
      <xdr:rowOff>95250</xdr:rowOff>
    </xdr:to>
    <xdr:sp macro="" textlink="">
      <xdr:nvSpPr>
        <xdr:cNvPr id="4" name="Rounded Rectangle 3"/>
        <xdr:cNvSpPr/>
      </xdr:nvSpPr>
      <xdr:spPr>
        <a:xfrm>
          <a:off x="3609976" y="200025"/>
          <a:ext cx="4086224" cy="981075"/>
        </a:xfrm>
        <a:prstGeom prst="roundRect">
          <a:avLst/>
        </a:prstGeom>
        <a:ln>
          <a:solidFill>
            <a:srgbClr val="00B0F0"/>
          </a:solidFill>
        </a:ln>
        <a:effectLst>
          <a:glow rad="1397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a:p>
          <a:pPr algn="l"/>
          <a:r>
            <a:rPr lang="en-US" sz="1100">
              <a:latin typeface="Times New Roman" panose="02020603050405020304" pitchFamily="18" charset="0"/>
              <a:cs typeface="Times New Roman" panose="02020603050405020304" pitchFamily="18" charset="0"/>
            </a:rPr>
            <a:t>  </a:t>
          </a:r>
          <a:r>
            <a:rPr lang="en-US" sz="2400">
              <a:latin typeface="Times New Roman" panose="02020603050405020304" pitchFamily="18" charset="0"/>
              <a:cs typeface="Times New Roman" panose="02020603050405020304" pitchFamily="18" charset="0"/>
            </a:rPr>
            <a:t>HacMarine Employee's</a:t>
          </a:r>
          <a:r>
            <a:rPr lang="en-US" sz="2400" baseline="0">
              <a:latin typeface="Times New Roman" panose="02020603050405020304" pitchFamily="18" charset="0"/>
              <a:cs typeface="Times New Roman" panose="02020603050405020304" pitchFamily="18" charset="0"/>
            </a:rPr>
            <a:t> Data</a:t>
          </a:r>
          <a:endParaRPr lang="en-US" sz="2400">
            <a:latin typeface="Times New Roman" panose="02020603050405020304" pitchFamily="18" charset="0"/>
            <a:cs typeface="Times New Roman" panose="02020603050405020304" pitchFamily="18" charset="0"/>
          </a:endParaRPr>
        </a:p>
      </xdr:txBody>
    </xdr:sp>
    <xdr:clientData/>
  </xdr:twoCellAnchor>
  <xdr:twoCellAnchor>
    <xdr:from>
      <xdr:col>1</xdr:col>
      <xdr:colOff>180975</xdr:colOff>
      <xdr:row>9</xdr:row>
      <xdr:rowOff>104775</xdr:rowOff>
    </xdr:from>
    <xdr:to>
      <xdr:col>6</xdr:col>
      <xdr:colOff>647700</xdr:colOff>
      <xdr:row>22</xdr:row>
      <xdr:rowOff>104774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504825</xdr:colOff>
      <xdr:row>9</xdr:row>
      <xdr:rowOff>95250</xdr:rowOff>
    </xdr:from>
    <xdr:to>
      <xdr:col>14</xdr:col>
      <xdr:colOff>257175</xdr:colOff>
      <xdr:row>23</xdr:row>
      <xdr:rowOff>28574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9524</xdr:colOff>
      <xdr:row>25</xdr:row>
      <xdr:rowOff>142876</xdr:rowOff>
    </xdr:from>
    <xdr:to>
      <xdr:col>20</xdr:col>
      <xdr:colOff>142875</xdr:colOff>
      <xdr:row>41</xdr:row>
      <xdr:rowOff>142876</xdr:rowOff>
    </xdr:to>
    <xdr:sp macro="" textlink="">
      <xdr:nvSpPr>
        <xdr:cNvPr id="7" name="Rounded Rectangle 6"/>
        <xdr:cNvSpPr/>
      </xdr:nvSpPr>
      <xdr:spPr>
        <a:xfrm>
          <a:off x="8924924" y="4667251"/>
          <a:ext cx="4933951" cy="2895600"/>
        </a:xfrm>
        <a:prstGeom prst="roundRect">
          <a:avLst/>
        </a:prstGeom>
        <a:ln>
          <a:solidFill>
            <a:srgbClr val="00B0F0"/>
          </a:solidFill>
        </a:ln>
        <a:effectLst>
          <a:glow rad="1397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xdr:txBody>
    </xdr:sp>
    <xdr:clientData/>
  </xdr:twoCellAnchor>
  <xdr:twoCellAnchor>
    <xdr:from>
      <xdr:col>4</xdr:col>
      <xdr:colOff>390525</xdr:colOff>
      <xdr:row>25</xdr:row>
      <xdr:rowOff>85725</xdr:rowOff>
    </xdr:from>
    <xdr:to>
      <xdr:col>12</xdr:col>
      <xdr:colOff>38100</xdr:colOff>
      <xdr:row>41</xdr:row>
      <xdr:rowOff>47625</xdr:rowOff>
    </xdr:to>
    <xdr:sp macro="" textlink="">
      <xdr:nvSpPr>
        <xdr:cNvPr id="8" name="Rounded Rectangle 7"/>
        <xdr:cNvSpPr/>
      </xdr:nvSpPr>
      <xdr:spPr>
        <a:xfrm>
          <a:off x="3133725" y="4610100"/>
          <a:ext cx="5133975" cy="2857500"/>
        </a:xfrm>
        <a:prstGeom prst="roundRect">
          <a:avLst/>
        </a:prstGeom>
        <a:ln>
          <a:solidFill>
            <a:srgbClr val="00B0F0"/>
          </a:solidFill>
        </a:ln>
        <a:effectLst>
          <a:glow rad="1397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a:t>
          </a:r>
        </a:p>
        <a:p>
          <a:pPr algn="l"/>
          <a:endParaRPr lang="en-US" sz="2400">
            <a:latin typeface="Times New Roman" panose="02020603050405020304" pitchFamily="18" charset="0"/>
            <a:cs typeface="Times New Roman" panose="02020603050405020304" pitchFamily="18" charset="0"/>
          </a:endParaRPr>
        </a:p>
      </xdr:txBody>
    </xdr:sp>
    <xdr:clientData/>
  </xdr:twoCellAnchor>
  <xdr:twoCellAnchor>
    <xdr:from>
      <xdr:col>4</xdr:col>
      <xdr:colOff>628650</xdr:colOff>
      <xdr:row>25</xdr:row>
      <xdr:rowOff>142875</xdr:rowOff>
    </xdr:from>
    <xdr:to>
      <xdr:col>11</xdr:col>
      <xdr:colOff>400050</xdr:colOff>
      <xdr:row>40</xdr:row>
      <xdr:rowOff>171450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323851</xdr:colOff>
      <xdr:row>26</xdr:row>
      <xdr:rowOff>38101</xdr:rowOff>
    </xdr:from>
    <xdr:to>
      <xdr:col>19</xdr:col>
      <xdr:colOff>514350</xdr:colOff>
      <xdr:row>41</xdr:row>
      <xdr:rowOff>66676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1.38920208333" createdVersion="5" refreshedVersion="5" minRefreshableVersion="3" recordCount="102">
  <cacheSource type="worksheet">
    <worksheetSource ref="A2:X104" sheet="Staff Info"/>
  </cacheSource>
  <cacheFields count="24">
    <cacheField name="Staff ID" numFmtId="0">
      <sharedItems containsSemiMixedTypes="0" containsString="0" containsNumber="1" containsInteger="1" minValue="1" maxValue="102" count="10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sharedItems>
    </cacheField>
    <cacheField name="Full Name" numFmtId="0">
      <sharedItems count="102">
        <s v="Jon Syed"/>
        <s v="Jorge Catherine"/>
        <s v="Karen Kim"/>
        <s v="Kelli Kim"/>
        <s v="Kelvin Kim"/>
        <s v="Kristen Hazem"/>
        <s v="Krystal Sam"/>
        <s v="Lacey Humberto"/>
        <s v="Laura Gustavo"/>
        <s v="Leah Pilar"/>
        <s v="Lisa Pilar"/>
        <s v="Louis Aaron"/>
        <s v="Mandy Adam"/>
        <s v="Margaret Alex"/>
        <s v="Martha Alexandra"/>
        <s v="Micah Allison"/>
        <s v="Omar Amanda"/>
        <s v="Rafael Amber"/>
        <s v="Ramon Andrea"/>
        <s v="Randy Angel"/>
        <s v="Roger Bailey"/>
        <s v="Rosa Ben"/>
        <s v="Sandra Blake"/>
        <s v="Shannon Carla"/>
        <s v="Stacey Carlos"/>
        <s v="Steve Charles"/>
        <s v="Susan Chloe"/>
        <s v="Suzanne Connor"/>
        <s v="Tamara Courtney"/>
        <s v="Tiffany Dalton"/>
        <s v="Trisha Devin"/>
        <s v="Valerie Eduardo"/>
        <s v="Vincent Edward"/>
        <s v="Warren Elijah"/>
        <s v="Wesley Eric"/>
        <s v="Alan Evan"/>
        <s v="Alejandro Fernando"/>
        <s v="Alisha Frances"/>
        <s v="Alvin Gabriel"/>
        <s v="Amy Gabriella"/>
        <s v="Arturo Gabrielle"/>
        <s v="Autumn Hailey"/>
        <s v="Barbara Haley"/>
        <s v="Bianca Hunter"/>
        <s v="Brent Ian"/>
        <s v="Brittney Isaac"/>
        <s v="Candice Isabella"/>
        <s v="Cedric Isaiah"/>
        <s v="Christy Jack"/>
        <s v="Clarence Jackson"/>
        <s v="Clayton Jada"/>
        <s v="Colin James"/>
        <s v="Colleen Jason"/>
        <s v="Crystal Jay"/>
        <s v="Damien Jay"/>
        <s v="Dawn Jenna"/>
        <s v="Dennis Jennifer"/>
        <s v="Edwin Jeremy"/>
        <s v="Erica Jesse"/>
        <s v="Ernest Jonathan"/>
        <s v="Eugene Jordan"/>
        <s v="Franklin Jordan"/>
        <s v="Gilbert Jose"/>
        <s v="Glenn Julia"/>
        <s v="Heather Kaitlyn"/>
        <s v="Jaclyn Katelyn"/>
        <s v="Jake Katherine"/>
        <s v="Jamie Kaylee"/>
        <s v="Jeffery Kevin"/>
        <s v="Jenny Kyle"/>
        <s v="Jessie Logan"/>
        <s v="Jon Lucas"/>
        <s v="Jorge Luis"/>
        <s v="Karen Luke"/>
        <s v="Kelli Mackenzie"/>
        <s v="Kelvin Marcus"/>
        <s v="Krystal Maria"/>
        <s v="Lacey Mary"/>
        <s v="Laura Mason"/>
        <s v="Leah Miguel"/>
        <s v="Lisa Morgan"/>
        <s v="Louis Natalie"/>
        <s v="Margaret Nathan"/>
        <s v="Marshall Noah"/>
        <s v="Micah Rebecca"/>
        <s v="Omar Richard"/>
        <s v="Rafael Robert"/>
        <s v="Randy Samuel"/>
        <s v="Roger Sara"/>
        <s v="Ronnie Savannah"/>
        <s v="Sandra Sean"/>
        <s v="Shannon Seth"/>
        <s v="Stacey Stephanie"/>
        <s v="Susan Sydney"/>
        <s v="Suzanne Thomas"/>
        <s v="Tamara Wyatt"/>
        <s v="Tiffany Xavier"/>
        <s v="Todd Ronald"/>
        <s v="Valerie Osarumwense"/>
        <s v="Vincent Samuel"/>
        <s v="Wesley James"/>
        <s v="Willie Robert"/>
      </sharedItems>
    </cacheField>
    <cacheField name="First Name" numFmtId="0">
      <sharedItems/>
    </cacheField>
    <cacheField name="Last Name" numFmtId="0">
      <sharedItems/>
    </cacheField>
    <cacheField name="Address" numFmtId="0">
      <sharedItems/>
    </cacheField>
    <cacheField name="Country" numFmtId="0">
      <sharedItems count="4">
        <s v="Canada               "/>
        <s v="USA                  "/>
        <s v="Australia            "/>
        <s v="New Zealand          "/>
      </sharedItems>
    </cacheField>
    <cacheField name="City" numFmtId="0">
      <sharedItems/>
    </cacheField>
    <cacheField name="State" numFmtId="0">
      <sharedItems/>
    </cacheField>
    <cacheField name="   DoB" numFmtId="14">
      <sharedItems containsSemiMixedTypes="0" containsNonDate="0" containsDate="1" containsString="0" minDate="1952-03-02T00:00:00" maxDate="1991-04-07T00:00:00"/>
    </cacheField>
    <cacheField name="Age" numFmtId="1">
      <sharedItems containsSemiMixedTypes="0" containsString="0" containsNumber="1" containsInteger="1" minValue="34" maxValue="73" count="29">
        <n v="56"/>
        <n v="54"/>
        <n v="51"/>
        <n v="50"/>
        <n v="73"/>
        <n v="66"/>
        <n v="38"/>
        <n v="39"/>
        <n v="46"/>
        <n v="41"/>
        <n v="47"/>
        <n v="36"/>
        <n v="64"/>
        <n v="63"/>
        <n v="42"/>
        <n v="43"/>
        <n v="69"/>
        <n v="37"/>
        <n v="48"/>
        <n v="58"/>
        <n v="52"/>
        <n v="35"/>
        <n v="49"/>
        <n v="70"/>
        <n v="55"/>
        <n v="34"/>
        <n v="40"/>
        <n v="53"/>
        <n v="45"/>
      </sharedItems>
    </cacheField>
    <cacheField name="Age Range" numFmtId="1">
      <sharedItems count="5">
        <s v="60-70"/>
        <s v="50-60"/>
        <s v="80-90"/>
        <s v="70-80"/>
        <s v="40-50"/>
      </sharedItems>
    </cacheField>
    <cacheField name="Today's date" numFmtId="14">
      <sharedItems containsSemiMixedTypes="0" containsNonDate="0" containsDate="1" containsString="0" minDate="2025-11-30T00:00:00" maxDate="2025-12-01T00:00:00"/>
    </cacheField>
    <cacheField name="MaritalStatus" numFmtId="14">
      <sharedItems count="2">
        <s v="S"/>
        <s v="M"/>
      </sharedItems>
    </cacheField>
    <cacheField name="Gender" numFmtId="0">
      <sharedItems count="2">
        <s v="M"/>
        <s v="F"/>
      </sharedItems>
    </cacheField>
    <cacheField name="Hire Date" numFmtId="14">
      <sharedItems containsSemiMixedTypes="0" containsNonDate="0" containsDate="1" containsString="0" minDate="2006-06-30T00:00:00" maxDate="2011-02-15T00:00:00"/>
    </cacheField>
    <cacheField name="Hire Months" numFmtId="0">
      <sharedItems count="7">
        <s v="January"/>
        <s v="November"/>
        <s v="December"/>
        <s v="February"/>
        <s v="May"/>
        <s v="March"/>
        <s v="June"/>
      </sharedItems>
    </cacheField>
    <cacheField name="Work Experience" numFmtId="1">
      <sharedItems containsSemiMixedTypes="0" containsString="0" containsNumber="1" containsInteger="1" minValue="14" maxValue="19"/>
    </cacheField>
    <cacheField name="Payment status" numFmtId="0">
      <sharedItems containsSemiMixedTypes="0" containsString="0" containsNumber="1" containsInteger="1" minValue="0" maxValue="1"/>
    </cacheField>
    <cacheField name="Payment status 2" numFmtId="0">
      <sharedItems count="2">
        <s v="Paid"/>
        <s v="Unpaid"/>
      </sharedItems>
    </cacheField>
    <cacheField name="Paid" numFmtId="0">
      <sharedItems count="107">
        <s v="Jon Syed"/>
        <s v=" "/>
        <s v="Karen Kim"/>
        <s v="Kelli Kim"/>
        <s v="Krystal Sam"/>
        <s v="Laura Gustavo"/>
        <s v="Louis Aaron"/>
        <s v="Mandy Adam"/>
        <s v="Micah Allison"/>
        <s v="Randy Angel"/>
        <s v="Roger Bailey"/>
        <s v="Rosa Ben"/>
        <s v="Sandra Blake"/>
        <s v="Susan Chloe"/>
        <s v="Tiffany Dalton"/>
        <s v="Trisha Devin"/>
        <s v="Valerie Eduardo"/>
        <s v="Alan Evan"/>
        <s v="Alejandro Fernando"/>
        <s v="Alisha Frances"/>
        <s v="Bianca Hunter"/>
        <s v="Brittney Isaac"/>
        <s v="Cedric Isaiah"/>
        <s v="Christy Jack"/>
        <s v="Colin James"/>
        <s v="Crystal Jay"/>
        <s v="Dennis Jennifer"/>
        <s v="Edwin Jeremy"/>
        <s v="Erica Jesse"/>
        <s v="Ernest Jonathan"/>
        <s v="Franklin Jordan"/>
        <s v="Gilbert Jose"/>
        <s v="Jaclyn Katelyn"/>
        <s v="Jamie Kaylee"/>
        <s v="Jenny Kyle"/>
        <s v="Jessie Logan"/>
        <s v="Jon Lucas"/>
        <s v="Kelvin Marcus"/>
        <s v="Krystal Maria"/>
        <s v="Lacey Mary"/>
        <s v="Leah Miguel"/>
        <s v="Louis Natalie"/>
        <s v="Marshall Noah"/>
        <s v="Micah Rebecca"/>
        <s v="Rafael Robert"/>
        <s v="Roger Sara"/>
        <s v="Sandra Sean"/>
        <s v="Stacey Stephanie"/>
        <s v="Susan Sydney"/>
        <s v="Suzanne Thomas"/>
        <s v="Tiffany Xavier"/>
        <s v="Todd Ronald"/>
        <s v="Valerie Osarumwense"/>
        <s v="Vincent Samuel"/>
        <s v="Wesley James"/>
        <s v="Bailey" u="1"/>
        <s v="Xavier" u="1"/>
        <s v="Dalton" u="1"/>
        <s v="Natalie" u="1"/>
        <s v="Isaiah" u="1"/>
        <s v="Lucas" u="1"/>
        <s v="Jeremy" u="1"/>
        <s v="Samuel" u="1"/>
        <s v="Osarumwense" u="1"/>
        <s v="Sean" u="1"/>
        <s v="Angel" u="1"/>
        <s v="Ben" u="1"/>
        <s v="Evan" u="1"/>
        <s v="Jennifer" u="1"/>
        <s v="Isaac" u="1"/>
        <s v="Jesse" u="1"/>
        <s v="Mary" u="1"/>
        <s v="Kim" u="1"/>
        <s v="Marcus" u="1"/>
        <s v="James" u="1"/>
        <s v="Sydney" u="1"/>
        <s v="Thomas" u="1"/>
        <s v="Rebecca" u="1"/>
        <s v="Miguel" u="1"/>
        <s v="Robert" u="1"/>
        <s v="Maria" u="1"/>
        <s v="Eduardo" u="1"/>
        <s v="Sam" u="1"/>
        <s v="Syed" u="1"/>
        <s v="Jose" u="1"/>
        <s v="Devin" u="1"/>
        <s v="Logan" u="1"/>
        <s v="Jack" u="1"/>
        <s v="Frances" u="1"/>
        <s v="Sara" u="1"/>
        <s v="Ronald" u="1"/>
        <s v="Stephanie" u="1"/>
        <s v="Kyle" u="1"/>
        <s v="Adam" u="1"/>
        <s v="Kaylee" u="1"/>
        <s v="Allison" u="1"/>
        <s v="Katelyn" u="1"/>
        <s v="Blake" u="1"/>
        <s v="Jay" u="1"/>
        <s v="Jordan" u="1"/>
        <s v="Jonathan" u="1"/>
        <s v="Gustavo" u="1"/>
        <s v="Chloe" u="1"/>
        <s v="Aaron" u="1"/>
        <s v="Fernando" u="1"/>
        <s v="Hunter" u="1"/>
        <s v="Noah" u="1"/>
      </sharedItems>
    </cacheField>
    <cacheField name="Unpaid" numFmtId="0">
      <sharedItems count="96">
        <s v=" "/>
        <s v="Jorge Catherine"/>
        <s v="Kelvin Kim"/>
        <s v="Kristen Hazem"/>
        <s v="Lacey Humberto"/>
        <s v="Leah Pilar"/>
        <s v="Lisa Pilar"/>
        <s v="Margaret Alex"/>
        <s v="Martha Alexandra"/>
        <s v="Omar Amanda"/>
        <s v="Rafael Amber"/>
        <s v="Ramon Andrea"/>
        <s v="Shannon Carla"/>
        <s v="Stacey Carlos"/>
        <s v="Steve Charles"/>
        <s v="Suzanne Connor"/>
        <s v="Tamara Courtney"/>
        <s v="Vincent Edward"/>
        <s v="Warren Elijah"/>
        <s v="Wesley Eric"/>
        <s v="Alvin Gabriel"/>
        <s v="Amy Gabriella"/>
        <s v="Arturo Gabrielle"/>
        <s v="Autumn Hailey"/>
        <s v="Barbara Haley"/>
        <s v="Brent Ian"/>
        <s v="Candice Isabella"/>
        <s v="Clarence Jackson"/>
        <s v="Clayton Jada"/>
        <s v="Colleen Jason"/>
        <s v="Damien Jay"/>
        <s v="Dawn Jenna"/>
        <s v="Eugene Jordan"/>
        <s v="Glenn Julia"/>
        <s v="Heather Kaitlyn"/>
        <s v="Jake Katherine"/>
        <s v="Jeffery Kevin"/>
        <s v="Jorge Luis"/>
        <s v="Karen Luke"/>
        <s v="Kelli Mackenzie"/>
        <s v="Laura Mason"/>
        <s v="Lisa Morgan"/>
        <s v="Margaret Nathan"/>
        <s v="Omar Richard"/>
        <s v="Randy Samuel"/>
        <s v="Ronnie Savannah"/>
        <s v="Shannon Seth"/>
        <s v="Tamara Wyatt"/>
        <s v="Willie Robert"/>
        <s v="Eric" u="1"/>
        <s v="Hazem" u="1"/>
        <s v="Charles" u="1"/>
        <s v="Connor" u="1"/>
        <s v="Mackenzie" u="1"/>
        <s v="Ian" u="1"/>
        <s v="Luke" u="1"/>
        <s v="Samuel" u="1"/>
        <s v="Julia" u="1"/>
        <s v="Gabrielle" u="1"/>
        <s v="Seth" u="1"/>
        <s v="Amber" u="1"/>
        <s v="Kim" u="1"/>
        <s v="Kaitlyn" u="1"/>
        <s v="Gabriella" u="1"/>
        <s v="Elijah" u="1"/>
        <s v="Katherine" u="1"/>
        <s v="Wyatt" u="1"/>
        <s v="Pilar" u="1"/>
        <s v="Robert" u="1"/>
        <s v="Amanda" u="1"/>
        <s v="Jackson" u="1"/>
        <s v="Hailey" u="1"/>
        <s v="Catherine" u="1"/>
        <s v="Jenna" u="1"/>
        <s v="Carlos" u="1"/>
        <s v="Gabriel" u="1"/>
        <s v="Alex" u="1"/>
        <s v="Andrea" u="1"/>
        <s v="Luis" u="1"/>
        <s v="Carla" u="1"/>
        <s v="Morgan" u="1"/>
        <s v="Alexandra" u="1"/>
        <s v="Edward" u="1"/>
        <s v="Nathan" u="1"/>
        <s v="Jason" u="1"/>
        <s v="Courtney" u="1"/>
        <s v="Isabella" u="1"/>
        <s v="Kevin" u="1"/>
        <s v="Haley" u="1"/>
        <s v="Jay" u="1"/>
        <s v="Jordan" u="1"/>
        <s v="Richard" u="1"/>
        <s v="Humberto" u="1"/>
        <s v="Mason" u="1"/>
        <s v="Jada" u="1"/>
        <s v="Savannah" u="1"/>
      </sharedItems>
    </cacheField>
    <cacheField name="Salary" numFmtId="44">
      <sharedItems containsSemiMixedTypes="0" containsString="0" containsNumber="1" containsInteger="1" minValue="110" maxValue="610"/>
    </cacheField>
    <cacheField name="Tax" numFmtId="44">
      <sharedItems containsSemiMixedTypes="0" containsString="0" containsNumber="1" containsInteger="1" minValue="0" maxValue="122"/>
    </cacheField>
    <cacheField name="Tax Rate" numFmtId="2">
      <sharedItems containsSemiMixedTypes="0" containsString="0" containsNumber="1" minValue="0.2" maxValue="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02">
  <r>
    <x v="0"/>
    <x v="0"/>
    <s v="Syed"/>
    <s v="Jon"/>
    <s v="765 Kingway                    "/>
    <x v="0"/>
    <s v="Charlottetown                  "/>
    <s v="PEI                          "/>
    <d v="1969-01-29T00:00:00"/>
    <x v="0"/>
    <x v="0"/>
    <d v="2025-11-30T00:00:00"/>
    <x v="0"/>
    <x v="0"/>
    <d v="2009-01-14T00:00:00"/>
    <x v="0"/>
    <n v="16"/>
    <n v="1"/>
    <x v="0"/>
    <x v="0"/>
    <x v="0"/>
    <n v="120"/>
    <n v="0"/>
    <n v="0.2"/>
  </r>
  <r>
    <x v="1"/>
    <x v="1"/>
    <s v="Catherine"/>
    <s v="Jorge"/>
    <s v="234 E Cannon Ave.              "/>
    <x v="1"/>
    <s v="Saginaw                        "/>
    <s v="MI                           "/>
    <d v="1971-08-01T00:00:00"/>
    <x v="1"/>
    <x v="0"/>
    <d v="2025-11-30T00:00:00"/>
    <x v="0"/>
    <x v="1"/>
    <d v="2008-01-31T00:00:00"/>
    <x v="0"/>
    <n v="17"/>
    <n v="0"/>
    <x v="1"/>
    <x v="1"/>
    <x v="1"/>
    <n v="190"/>
    <n v="0"/>
    <n v="0.2"/>
  </r>
  <r>
    <x v="2"/>
    <x v="2"/>
    <s v="Kim"/>
    <s v="Karen"/>
    <s v="234 Heritage Ave.              "/>
    <x v="1"/>
    <s v="Midland                        "/>
    <s v="MI                           "/>
    <d v="1974-11-12T00:00:00"/>
    <x v="2"/>
    <x v="0"/>
    <d v="2025-11-30T00:00:00"/>
    <x v="1"/>
    <x v="0"/>
    <d v="2007-11-11T00:00:00"/>
    <x v="1"/>
    <n v="18"/>
    <n v="1"/>
    <x v="0"/>
    <x v="2"/>
    <x v="0"/>
    <n v="120"/>
    <n v="24"/>
    <n v="0.2"/>
  </r>
  <r>
    <x v="3"/>
    <x v="3"/>
    <s v="Kim"/>
    <s v="Kelli"/>
    <s v="5678 S. 42nd Ave.              "/>
    <x v="1"/>
    <s v="Rockford                       "/>
    <s v="IL                           "/>
    <d v="1974-12-23T00:00:00"/>
    <x v="3"/>
    <x v="1"/>
    <d v="2025-11-30T00:00:00"/>
    <x v="0"/>
    <x v="0"/>
    <d v="2007-12-05T00:00:00"/>
    <x v="2"/>
    <n v="17"/>
    <n v="1"/>
    <x v="0"/>
    <x v="3"/>
    <x v="0"/>
    <n v="190"/>
    <n v="38"/>
    <n v="0.2"/>
  </r>
  <r>
    <x v="4"/>
    <x v="4"/>
    <s v="Kim"/>
    <s v="Kelvin"/>
    <s v="123 Yeo                        "/>
    <x v="2"/>
    <s v="Melbourne                      "/>
    <s v="VIC                          "/>
    <d v="1952-09-27T00:00:00"/>
    <x v="4"/>
    <x v="2"/>
    <d v="2025-11-30T00:00:00"/>
    <x v="1"/>
    <x v="1"/>
    <d v="2008-01-06T00:00:00"/>
    <x v="0"/>
    <n v="17"/>
    <n v="0"/>
    <x v="1"/>
    <x v="1"/>
    <x v="2"/>
    <n v="610"/>
    <n v="0"/>
    <n v="0.2"/>
  </r>
  <r>
    <x v="5"/>
    <x v="5"/>
    <s v="Hazem"/>
    <s v="Kristen"/>
    <s v="12345 Redmond Rd               "/>
    <x v="1"/>
    <s v="Milwaukee                      "/>
    <s v="WI                           "/>
    <d v="1959-03-11T00:00:00"/>
    <x v="5"/>
    <x v="3"/>
    <d v="2025-11-30T00:00:00"/>
    <x v="1"/>
    <x v="0"/>
    <d v="2008-01-24T00:00:00"/>
    <x v="0"/>
    <n v="17"/>
    <n v="0"/>
    <x v="1"/>
    <x v="1"/>
    <x v="3"/>
    <n v="120"/>
    <n v="24"/>
    <n v="0.2"/>
  </r>
  <r>
    <x v="6"/>
    <x v="6"/>
    <s v="Sam"/>
    <s v="Krystal"/>
    <s v="234 Hampton Village            "/>
    <x v="1"/>
    <s v="Springfield                    "/>
    <s v="IL                           "/>
    <d v="1987-02-24T00:00:00"/>
    <x v="6"/>
    <x v="4"/>
    <d v="2025-11-30T00:00:00"/>
    <x v="1"/>
    <x v="0"/>
    <d v="2009-02-08T00:00:00"/>
    <x v="3"/>
    <n v="16"/>
    <n v="1"/>
    <x v="0"/>
    <x v="4"/>
    <x v="0"/>
    <n v="120"/>
    <n v="24"/>
    <n v="0.2"/>
  </r>
  <r>
    <x v="7"/>
    <x v="7"/>
    <s v="Humberto"/>
    <s v="Lacey"/>
    <s v="1234 Westown Road              "/>
    <x v="1"/>
    <s v="West Des Moines                "/>
    <s v="IA                           "/>
    <d v="1986-06-05T00:00:00"/>
    <x v="7"/>
    <x v="4"/>
    <d v="2025-11-30T00:00:00"/>
    <x v="0"/>
    <x v="1"/>
    <d v="2008-12-29T00:00:00"/>
    <x v="2"/>
    <n v="16"/>
    <n v="0"/>
    <x v="1"/>
    <x v="1"/>
    <x v="4"/>
    <n v="360"/>
    <n v="0"/>
    <n v="0.2"/>
  </r>
  <r>
    <x v="8"/>
    <x v="8"/>
    <s v="Gustavo"/>
    <s v="Laura"/>
    <s v="4321 West Broadway             "/>
    <x v="0"/>
    <s v="Montreal                       "/>
    <s v="PQ                           "/>
    <d v="1979-01-21T00:00:00"/>
    <x v="8"/>
    <x v="1"/>
    <d v="2025-11-30T00:00:00"/>
    <x v="1"/>
    <x v="1"/>
    <d v="2009-01-16T00:00:00"/>
    <x v="0"/>
    <n v="16"/>
    <n v="1"/>
    <x v="0"/>
    <x v="5"/>
    <x v="0"/>
    <n v="190"/>
    <n v="0"/>
    <n v="0.2"/>
  </r>
  <r>
    <x v="9"/>
    <x v="9"/>
    <s v="Pilar"/>
    <s v="Leah"/>
    <s v="City 123                       "/>
    <x v="2"/>
    <s v="Sydney                         "/>
    <s v="NSW                          "/>
    <d v="1984-11-30T00:00:00"/>
    <x v="9"/>
    <x v="1"/>
    <d v="2025-11-30T00:00:00"/>
    <x v="1"/>
    <x v="0"/>
    <d v="2009-05-03T00:00:00"/>
    <x v="4"/>
    <n v="16"/>
    <n v="0"/>
    <x v="1"/>
    <x v="1"/>
    <x v="5"/>
    <n v="190"/>
    <n v="0"/>
    <n v="0.2"/>
  </r>
  <r>
    <x v="10"/>
    <x v="10"/>
    <s v="Pilar"/>
    <s v="Lisa"/>
    <s v="987 Portar Street              "/>
    <x v="3"/>
    <s v="Auckland                       "/>
    <s v="                             "/>
    <d v="1978-01-17T00:00:00"/>
    <x v="10"/>
    <x v="1"/>
    <d v="2025-11-30T00:00:00"/>
    <x v="0"/>
    <x v="0"/>
    <d v="2010-12-05T00:00:00"/>
    <x v="2"/>
    <n v="14"/>
    <n v="0"/>
    <x v="1"/>
    <x v="1"/>
    <x v="6"/>
    <n v="190"/>
    <n v="0"/>
    <n v="0.2"/>
  </r>
  <r>
    <x v="11"/>
    <x v="11"/>
    <s v="Aaron"/>
    <s v="Louis"/>
    <s v="8765 58th Street West          "/>
    <x v="1"/>
    <s v="St. Louis                      "/>
    <s v="MO                           "/>
    <d v="1959-07-29T00:00:00"/>
    <x v="5"/>
    <x v="3"/>
    <d v="2025-11-30T00:00:00"/>
    <x v="1"/>
    <x v="0"/>
    <d v="2007-12-11T00:00:00"/>
    <x v="2"/>
    <n v="17"/>
    <n v="1"/>
    <x v="0"/>
    <x v="6"/>
    <x v="0"/>
    <n v="610"/>
    <n v="122"/>
    <n v="0.2"/>
  </r>
  <r>
    <x v="12"/>
    <x v="12"/>
    <s v="Adam"/>
    <s v="Mandy"/>
    <s v="987 Union Circle               "/>
    <x v="1"/>
    <s v="Lockport                       "/>
    <s v="IL                           "/>
    <d v="1989-05-28T00:00:00"/>
    <x v="11"/>
    <x v="4"/>
    <d v="2025-11-30T00:00:00"/>
    <x v="1"/>
    <x v="1"/>
    <d v="2010-12-23T00:00:00"/>
    <x v="2"/>
    <n v="14"/>
    <n v="1"/>
    <x v="0"/>
    <x v="7"/>
    <x v="0"/>
    <n v="110"/>
    <n v="0"/>
    <n v="0.2"/>
  </r>
  <r>
    <x v="13"/>
    <x v="13"/>
    <s v="Alex"/>
    <s v="Margaret"/>
    <s v="678 W Orange Ave               "/>
    <x v="1"/>
    <s v="Lafayette                      "/>
    <s v="IN                           "/>
    <d v="1979-06-16T00:00:00"/>
    <x v="8"/>
    <x v="1"/>
    <d v="2025-11-30T00:00:00"/>
    <x v="0"/>
    <x v="0"/>
    <d v="2010-12-30T00:00:00"/>
    <x v="2"/>
    <n v="14"/>
    <n v="0"/>
    <x v="1"/>
    <x v="1"/>
    <x v="7"/>
    <n v="120"/>
    <n v="24"/>
    <n v="0.2"/>
  </r>
  <r>
    <x v="14"/>
    <x v="14"/>
    <s v="Alexandra"/>
    <s v="Martha"/>
    <s v="P.O. Box 1234                  "/>
    <x v="1"/>
    <s v="Wichita                        "/>
    <s v="KS                           "/>
    <d v="1961-05-02T00:00:00"/>
    <x v="12"/>
    <x v="3"/>
    <d v="2025-11-30T00:00:00"/>
    <x v="1"/>
    <x v="1"/>
    <d v="2011-01-18T00:00:00"/>
    <x v="0"/>
    <n v="14"/>
    <n v="0"/>
    <x v="1"/>
    <x v="1"/>
    <x v="8"/>
    <n v="110"/>
    <n v="0"/>
    <n v="0.2"/>
  </r>
  <r>
    <x v="15"/>
    <x v="15"/>
    <s v="Allison"/>
    <s v="Micah"/>
    <s v="234 Hickman St.                "/>
    <x v="1"/>
    <s v="Springfield                    "/>
    <s v="IL                           "/>
    <d v="1975-03-19T00:00:00"/>
    <x v="3"/>
    <x v="1"/>
    <d v="2025-11-30T00:00:00"/>
    <x v="0"/>
    <x v="0"/>
    <d v="2007-12-20T00:00:00"/>
    <x v="2"/>
    <n v="17"/>
    <n v="1"/>
    <x v="0"/>
    <x v="8"/>
    <x v="0"/>
    <n v="120"/>
    <n v="24"/>
    <n v="0.2"/>
  </r>
  <r>
    <x v="16"/>
    <x v="16"/>
    <s v="Amanda"/>
    <s v="Omar"/>
    <s v="98765 Crossway Park Dr         "/>
    <x v="1"/>
    <s v="Bloomington                    "/>
    <s v="MN                           "/>
    <d v="1987-05-03T00:00:00"/>
    <x v="6"/>
    <x v="4"/>
    <d v="2025-11-30T00:00:00"/>
    <x v="0"/>
    <x v="0"/>
    <d v="2007-01-26T00:00:00"/>
    <x v="0"/>
    <n v="18"/>
    <n v="0"/>
    <x v="1"/>
    <x v="1"/>
    <x v="9"/>
    <n v="190"/>
    <n v="38"/>
    <n v="0.2"/>
  </r>
  <r>
    <x v="17"/>
    <x v="17"/>
    <s v="Amber"/>
    <s v="Rafael"/>
    <s v="12345 21st Ave S               "/>
    <x v="1"/>
    <s v="Lawrence                       "/>
    <s v="KS                           "/>
    <d v="1978-03-06T00:00:00"/>
    <x v="10"/>
    <x v="1"/>
    <d v="2025-11-30T00:00:00"/>
    <x v="0"/>
    <x v="0"/>
    <d v="2011-02-07T00:00:00"/>
    <x v="3"/>
    <n v="14"/>
    <n v="0"/>
    <x v="1"/>
    <x v="1"/>
    <x v="10"/>
    <n v="190"/>
    <n v="38"/>
    <n v="0.2"/>
  </r>
  <r>
    <x v="18"/>
    <x v="18"/>
    <s v="Andrea"/>
    <s v="Ramon"/>
    <s v="9876 N. Pioneer Road           "/>
    <x v="1"/>
    <s v="Gary                           "/>
    <s v="IN                           "/>
    <d v="1978-01-29T00:00:00"/>
    <x v="10"/>
    <x v="1"/>
    <d v="2025-11-30T00:00:00"/>
    <x v="0"/>
    <x v="1"/>
    <d v="2011-02-14T00:00:00"/>
    <x v="3"/>
    <n v="14"/>
    <n v="0"/>
    <x v="1"/>
    <x v="1"/>
    <x v="11"/>
    <n v="110"/>
    <n v="0"/>
    <n v="0.2"/>
  </r>
  <r>
    <x v="19"/>
    <x v="19"/>
    <s v="Angel"/>
    <s v="Randy"/>
    <s v="5678 Fraser Ave N.             "/>
    <x v="1"/>
    <s v="Mishawaka                      "/>
    <s v="IN                           "/>
    <d v="1975-03-17T00:00:00"/>
    <x v="3"/>
    <x v="1"/>
    <d v="2025-11-30T00:00:00"/>
    <x v="1"/>
    <x v="1"/>
    <d v="2011-01-07T00:00:00"/>
    <x v="0"/>
    <n v="14"/>
    <n v="1"/>
    <x v="0"/>
    <x v="9"/>
    <x v="0"/>
    <n v="190"/>
    <n v="0"/>
    <n v="0.2"/>
  </r>
  <r>
    <x v="20"/>
    <x v="20"/>
    <s v="Bailey"/>
    <s v="Roger"/>
    <s v="1234 Sunlight Place            "/>
    <x v="1"/>
    <s v="Iowa City                      "/>
    <s v="IA                           "/>
    <d v="1986-02-04T00:00:00"/>
    <x v="7"/>
    <x v="4"/>
    <d v="2025-11-30T00:00:00"/>
    <x v="1"/>
    <x v="0"/>
    <d v="2009-03-02T00:00:00"/>
    <x v="5"/>
    <n v="16"/>
    <n v="1"/>
    <x v="0"/>
    <x v="10"/>
    <x v="0"/>
    <n v="190"/>
    <n v="38"/>
    <n v="0.2"/>
  </r>
  <r>
    <x v="21"/>
    <x v="21"/>
    <s v="Ben"/>
    <s v="Rosa"/>
    <s v="987 45 Ave.                    "/>
    <x v="0"/>
    <s v="Winnipeg                       "/>
    <s v="MB                           "/>
    <d v="1987-05-21T00:00:00"/>
    <x v="6"/>
    <x v="4"/>
    <d v="2025-11-30T00:00:00"/>
    <x v="0"/>
    <x v="0"/>
    <d v="2008-12-12T00:00:00"/>
    <x v="2"/>
    <n v="16"/>
    <n v="1"/>
    <x v="0"/>
    <x v="11"/>
    <x v="0"/>
    <n v="225"/>
    <n v="0"/>
    <n v="0.2"/>
  </r>
  <r>
    <x v="22"/>
    <x v="22"/>
    <s v="Blake"/>
    <s v="Sandra"/>
    <s v="4321 McDaniels Rd              "/>
    <x v="1"/>
    <s v="Minneapolis                    "/>
    <s v="MN                           "/>
    <d v="1962-09-13T00:00:00"/>
    <x v="13"/>
    <x v="3"/>
    <d v="2025-11-30T00:00:00"/>
    <x v="1"/>
    <x v="1"/>
    <d v="2009-01-12T00:00:00"/>
    <x v="0"/>
    <n v="16"/>
    <n v="1"/>
    <x v="0"/>
    <x v="12"/>
    <x v="0"/>
    <n v="240"/>
    <n v="0"/>
    <n v="0.2"/>
  </r>
  <r>
    <x v="23"/>
    <x v="23"/>
    <s v="Carla"/>
    <s v="Shannon"/>
    <s v="PO Box 2345                    "/>
    <x v="1"/>
    <s v="Lake Zurich                    "/>
    <s v="IL                           "/>
    <d v="1979-06-18T00:00:00"/>
    <x v="8"/>
    <x v="1"/>
    <d v="2025-11-30T00:00:00"/>
    <x v="1"/>
    <x v="1"/>
    <d v="2009-01-18T00:00:00"/>
    <x v="0"/>
    <n v="16"/>
    <n v="0"/>
    <x v="1"/>
    <x v="1"/>
    <x v="12"/>
    <n v="240"/>
    <n v="0"/>
    <n v="0.2"/>
  </r>
  <r>
    <x v="24"/>
    <x v="24"/>
    <s v="Carlos"/>
    <s v="Stacey"/>
    <s v="Business Office                "/>
    <x v="1"/>
    <s v="Fort Wayne                     "/>
    <s v="IN                           "/>
    <d v="1983-01-07T00:00:00"/>
    <x v="14"/>
    <x v="1"/>
    <d v="2025-11-30T00:00:00"/>
    <x v="0"/>
    <x v="0"/>
    <d v="2009-02-03T00:00:00"/>
    <x v="3"/>
    <n v="16"/>
    <n v="0"/>
    <x v="1"/>
    <x v="1"/>
    <x v="13"/>
    <n v="240"/>
    <n v="48"/>
    <n v="0.2"/>
  </r>
  <r>
    <x v="25"/>
    <x v="25"/>
    <s v="Charles"/>
    <s v="Steve"/>
    <s v="234 Lee Ridge Road             "/>
    <x v="1"/>
    <s v="Chicago                        "/>
    <s v="IL                           "/>
    <d v="1982-11-03T00:00:00"/>
    <x v="15"/>
    <x v="1"/>
    <d v="2025-11-30T00:00:00"/>
    <x v="1"/>
    <x v="0"/>
    <d v="2008-12-01T00:00:00"/>
    <x v="2"/>
    <n v="16"/>
    <n v="0"/>
    <x v="1"/>
    <x v="1"/>
    <x v="14"/>
    <n v="225"/>
    <n v="45"/>
    <n v="0.2"/>
  </r>
  <r>
    <x v="26"/>
    <x v="26"/>
    <s v="Chloe"/>
    <s v="Susan"/>
    <s v="8765 College Drive             "/>
    <x v="1"/>
    <s v="Grand Rapids                   "/>
    <s v="MI                           "/>
    <d v="1956-10-08T00:00:00"/>
    <x v="16"/>
    <x v="3"/>
    <d v="2025-11-30T00:00:00"/>
    <x v="0"/>
    <x v="1"/>
    <d v="2008-02-27T00:00:00"/>
    <x v="3"/>
    <n v="17"/>
    <n v="1"/>
    <x v="0"/>
    <x v="13"/>
    <x v="0"/>
    <n v="240"/>
    <n v="0"/>
    <n v="0.2"/>
  </r>
  <r>
    <x v="27"/>
    <x v="27"/>
    <s v="Connor"/>
    <s v="Suzanne"/>
    <s v="5678 W. Jackson Ave            "/>
    <x v="1"/>
    <s v="Milwaukee                      "/>
    <s v="WI                           "/>
    <d v="1988-03-13T00:00:00"/>
    <x v="17"/>
    <x v="4"/>
    <d v="2025-11-30T00:00:00"/>
    <x v="1"/>
    <x v="0"/>
    <d v="2006-06-30T00:00:00"/>
    <x v="6"/>
    <n v="19"/>
    <n v="0"/>
    <x v="1"/>
    <x v="1"/>
    <x v="15"/>
    <n v="190"/>
    <n v="38"/>
    <n v="0.2"/>
  </r>
  <r>
    <x v="28"/>
    <x v="28"/>
    <s v="Courtney"/>
    <s v="Tamara"/>
    <s v="543 Abbot Ave.                 "/>
    <x v="0"/>
    <s v="Halifax                        "/>
    <s v="NS                           "/>
    <d v="1979-09-25T00:00:00"/>
    <x v="8"/>
    <x v="1"/>
    <d v="2025-11-30T00:00:00"/>
    <x v="0"/>
    <x v="0"/>
    <d v="2009-01-23T00:00:00"/>
    <x v="0"/>
    <n v="16"/>
    <n v="0"/>
    <x v="1"/>
    <x v="1"/>
    <x v="16"/>
    <n v="190"/>
    <n v="0"/>
    <n v="0.2"/>
  </r>
  <r>
    <x v="29"/>
    <x v="29"/>
    <s v="Dalton"/>
    <s v="Tiffany"/>
    <s v="123 W. Nichols Rd              "/>
    <x v="1"/>
    <s v="St. Paul                       "/>
    <s v="MN                           "/>
    <d v="1989-09-28T00:00:00"/>
    <x v="11"/>
    <x v="4"/>
    <d v="2025-11-30T00:00:00"/>
    <x v="1"/>
    <x v="1"/>
    <d v="2009-01-29T00:00:00"/>
    <x v="0"/>
    <n v="16"/>
    <n v="1"/>
    <x v="0"/>
    <x v="14"/>
    <x v="0"/>
    <n v="190"/>
    <n v="0"/>
    <n v="0.2"/>
  </r>
  <r>
    <x v="30"/>
    <x v="30"/>
    <s v="Devin"/>
    <s v="Trisha"/>
    <s v="1234 Redwood Trail             "/>
    <x v="1"/>
    <s v="Indianapolis                   "/>
    <s v="IN                           "/>
    <d v="1986-05-20T00:00:00"/>
    <x v="7"/>
    <x v="4"/>
    <d v="2025-11-30T00:00:00"/>
    <x v="1"/>
    <x v="1"/>
    <d v="2009-01-04T00:00:00"/>
    <x v="0"/>
    <n v="16"/>
    <n v="1"/>
    <x v="0"/>
    <x v="15"/>
    <x v="0"/>
    <n v="225"/>
    <n v="0"/>
    <n v="0.2"/>
  </r>
  <r>
    <x v="31"/>
    <x v="31"/>
    <s v="Eduardo"/>
    <s v="Valerie"/>
    <s v="4567 145th St NW               "/>
    <x v="1"/>
    <s v="Omaha                          "/>
    <s v="NE                           "/>
    <d v="1977-07-10T00:00:00"/>
    <x v="18"/>
    <x v="1"/>
    <d v="2025-11-30T00:00:00"/>
    <x v="1"/>
    <x v="1"/>
    <d v="2008-12-29T00:00:00"/>
    <x v="2"/>
    <n v="16"/>
    <n v="1"/>
    <x v="0"/>
    <x v="16"/>
    <x v="0"/>
    <n v="240"/>
    <n v="0"/>
    <n v="0.2"/>
  </r>
  <r>
    <x v="32"/>
    <x v="32"/>
    <s v="Edward"/>
    <s v="Vincent"/>
    <s v="123 Apple Grove Square         "/>
    <x v="1"/>
    <s v="Indianapolis                   "/>
    <s v="IN                           "/>
    <d v="1976-12-26T00:00:00"/>
    <x v="18"/>
    <x v="1"/>
    <d v="2025-11-30T00:00:00"/>
    <x v="1"/>
    <x v="0"/>
    <d v="2008-12-17T00:00:00"/>
    <x v="2"/>
    <n v="16"/>
    <n v="0"/>
    <x v="1"/>
    <x v="1"/>
    <x v="17"/>
    <n v="240"/>
    <n v="48"/>
    <n v="0.2"/>
  </r>
  <r>
    <x v="33"/>
    <x v="33"/>
    <s v="Elijah"/>
    <s v="Warren"/>
    <s v="9876 Willingdon                "/>
    <x v="0"/>
    <s v="Calgary                        "/>
    <s v="AB                           "/>
    <d v="1987-06-10T00:00:00"/>
    <x v="6"/>
    <x v="4"/>
    <d v="2025-11-30T00:00:00"/>
    <x v="1"/>
    <x v="1"/>
    <d v="2009-02-16T00:00:00"/>
    <x v="3"/>
    <n v="16"/>
    <n v="0"/>
    <x v="1"/>
    <x v="1"/>
    <x v="18"/>
    <n v="240"/>
    <n v="0"/>
    <n v="0.2"/>
  </r>
  <r>
    <x v="34"/>
    <x v="34"/>
    <s v="Eric"/>
    <s v="Wesley"/>
    <s v="4567 East River Road           "/>
    <x v="0"/>
    <s v="Vancouver                      "/>
    <s v="BC                           "/>
    <d v="1977-01-10T00:00:00"/>
    <x v="18"/>
    <x v="1"/>
    <d v="2025-11-30T00:00:00"/>
    <x v="1"/>
    <x v="0"/>
    <d v="2009-02-08T00:00:00"/>
    <x v="3"/>
    <n v="16"/>
    <n v="0"/>
    <x v="1"/>
    <x v="1"/>
    <x v="19"/>
    <n v="225"/>
    <n v="0"/>
    <n v="0.2"/>
  </r>
  <r>
    <x v="35"/>
    <x v="35"/>
    <s v="Evan"/>
    <s v="Alan"/>
    <s v="2345 42 St. W                  "/>
    <x v="1"/>
    <s v="Woodbury                       "/>
    <s v="MN                           "/>
    <d v="1984-07-31T00:00:00"/>
    <x v="9"/>
    <x v="1"/>
    <d v="2025-11-30T00:00:00"/>
    <x v="1"/>
    <x v="0"/>
    <d v="2009-02-10T00:00:00"/>
    <x v="3"/>
    <n v="16"/>
    <n v="1"/>
    <x v="0"/>
    <x v="17"/>
    <x v="0"/>
    <n v="240"/>
    <n v="48"/>
    <n v="0.2"/>
  </r>
  <r>
    <x v="36"/>
    <x v="36"/>
    <s v="Fernando"/>
    <s v="Alejandro"/>
    <s v="987 Royal Park Centre          "/>
    <x v="0"/>
    <s v="St. John's                     "/>
    <s v="NF                           "/>
    <d v="1986-08-07T00:00:00"/>
    <x v="7"/>
    <x v="4"/>
    <d v="2025-11-30T00:00:00"/>
    <x v="0"/>
    <x v="0"/>
    <d v="2009-03-07T00:00:00"/>
    <x v="5"/>
    <n v="16"/>
    <n v="1"/>
    <x v="0"/>
    <x v="18"/>
    <x v="0"/>
    <n v="225"/>
    <n v="0"/>
    <n v="0.2"/>
  </r>
  <r>
    <x v="37"/>
    <x v="37"/>
    <s v="Frances"/>
    <s v="Alisha"/>
    <s v="5432 Principal Ave.            "/>
    <x v="1"/>
    <s v="Mankato                        "/>
    <s v="MN                           "/>
    <d v="1966-12-14T00:00:00"/>
    <x v="19"/>
    <x v="0"/>
    <d v="2025-11-30T00:00:00"/>
    <x v="1"/>
    <x v="1"/>
    <d v="2010-01-16T00:00:00"/>
    <x v="0"/>
    <n v="15"/>
    <n v="1"/>
    <x v="0"/>
    <x v="19"/>
    <x v="0"/>
    <n v="240"/>
    <n v="0"/>
    <n v="0.2"/>
  </r>
  <r>
    <x v="38"/>
    <x v="38"/>
    <s v="Gabriel"/>
    <s v="Alvin"/>
    <s v="3456 N. Jupiter St             "/>
    <x v="1"/>
    <s v="St Louis                       "/>
    <s v="MO                           "/>
    <d v="1971-09-11T00:00:00"/>
    <x v="1"/>
    <x v="0"/>
    <d v="2025-11-30T00:00:00"/>
    <x v="0"/>
    <x v="0"/>
    <d v="2010-02-05T00:00:00"/>
    <x v="3"/>
    <n v="15"/>
    <n v="0"/>
    <x v="1"/>
    <x v="1"/>
    <x v="20"/>
    <n v="190"/>
    <n v="38"/>
    <n v="0.2"/>
  </r>
  <r>
    <x v="39"/>
    <x v="39"/>
    <s v="Gabriella"/>
    <s v="Amy"/>
    <s v="8765 W. Cordoba Way            "/>
    <x v="1"/>
    <s v="Kansas City                    "/>
    <s v="MO                           "/>
    <d v="1956-01-16T00:00:00"/>
    <x v="16"/>
    <x v="3"/>
    <d v="2025-11-30T00:00:00"/>
    <x v="0"/>
    <x v="1"/>
    <d v="2007-12-26T00:00:00"/>
    <x v="2"/>
    <n v="17"/>
    <n v="0"/>
    <x v="1"/>
    <x v="1"/>
    <x v="21"/>
    <n v="240"/>
    <n v="0"/>
    <n v="0.2"/>
  </r>
  <r>
    <x v="40"/>
    <x v="40"/>
    <s v="Gabrielle"/>
    <s v="Arturo"/>
    <s v="6789 82 Ave S.                 "/>
    <x v="1"/>
    <s v="Minneapolis                    "/>
    <s v="MN                           "/>
    <d v="1973-08-27T00:00:00"/>
    <x v="20"/>
    <x v="0"/>
    <d v="2025-11-30T00:00:00"/>
    <x v="0"/>
    <x v="0"/>
    <d v="2009-01-21T00:00:00"/>
    <x v="0"/>
    <n v="16"/>
    <n v="0"/>
    <x v="1"/>
    <x v="1"/>
    <x v="22"/>
    <n v="180"/>
    <n v="36"/>
    <n v="0.2"/>
  </r>
  <r>
    <x v="41"/>
    <x v="41"/>
    <s v="Hailey"/>
    <s v="Autumn"/>
    <s v="Place 123 Suite 3              "/>
    <x v="0"/>
    <s v="Winnipeg                       "/>
    <s v="MB                           "/>
    <d v="1984-07-25T00:00:00"/>
    <x v="9"/>
    <x v="1"/>
    <d v="2025-11-30T00:00:00"/>
    <x v="1"/>
    <x v="0"/>
    <d v="2008-12-27T00:00:00"/>
    <x v="2"/>
    <n v="16"/>
    <n v="0"/>
    <x v="1"/>
    <x v="1"/>
    <x v="23"/>
    <n v="110"/>
    <n v="0"/>
    <n v="0.2"/>
  </r>
  <r>
    <x v="42"/>
    <x v="42"/>
    <s v="Haley"/>
    <s v="Barbara"/>
    <s v="76543 Commerical Street        "/>
    <x v="1"/>
    <s v="Independence                   "/>
    <s v="MO                           "/>
    <d v="1988-11-19T00:00:00"/>
    <x v="17"/>
    <x v="4"/>
    <d v="2025-11-30T00:00:00"/>
    <x v="1"/>
    <x v="1"/>
    <d v="2009-01-02T00:00:00"/>
    <x v="0"/>
    <n v="16"/>
    <n v="0"/>
    <x v="1"/>
    <x v="1"/>
    <x v="24"/>
    <n v="190"/>
    <n v="0"/>
    <n v="0.2"/>
  </r>
  <r>
    <x v="43"/>
    <x v="43"/>
    <s v="Hunter"/>
    <s v="Bianca"/>
    <s v="5678 Herman St.                "/>
    <x v="0"/>
    <s v="Vancouver                      "/>
    <s v="BC                           "/>
    <d v="1990-05-17T00:00:00"/>
    <x v="21"/>
    <x v="4"/>
    <d v="2025-11-30T00:00:00"/>
    <x v="0"/>
    <x v="0"/>
    <d v="2008-12-08T00:00:00"/>
    <x v="2"/>
    <n v="16"/>
    <n v="1"/>
    <x v="0"/>
    <x v="20"/>
    <x v="0"/>
    <n v="296"/>
    <n v="0"/>
    <n v="0.2"/>
  </r>
  <r>
    <x v="44"/>
    <x v="44"/>
    <s v="Ian"/>
    <s v="Brent"/>
    <s v="8765 Barclay St.               "/>
    <x v="0"/>
    <s v="Regina                         "/>
    <s v="SK                           "/>
    <d v="1986-01-10T00:00:00"/>
    <x v="7"/>
    <x v="4"/>
    <d v="2025-11-30T00:00:00"/>
    <x v="1"/>
    <x v="0"/>
    <d v="2009-02-26T00:00:00"/>
    <x v="3"/>
    <n v="16"/>
    <n v="0"/>
    <x v="1"/>
    <x v="1"/>
    <x v="25"/>
    <n v="610"/>
    <n v="0"/>
    <n v="0.2"/>
  </r>
  <r>
    <x v="45"/>
    <x v="45"/>
    <s v="Isaac"/>
    <s v="Brittney"/>
    <s v="SSU Box 123                    "/>
    <x v="1"/>
    <s v="Arlington Heights              "/>
    <s v="IL                           "/>
    <d v="1976-02-10T00:00:00"/>
    <x v="22"/>
    <x v="1"/>
    <d v="2025-11-30T00:00:00"/>
    <x v="0"/>
    <x v="0"/>
    <d v="2009-02-08T00:00:00"/>
    <x v="3"/>
    <n v="16"/>
    <n v="1"/>
    <x v="0"/>
    <x v="21"/>
    <x v="0"/>
    <n v="240"/>
    <n v="48"/>
    <n v="0.2"/>
  </r>
  <r>
    <x v="46"/>
    <x v="46"/>
    <s v="Isabella"/>
    <s v="Candice"/>
    <s v="Rural Route 123 Box 45G        "/>
    <x v="1"/>
    <s v="McHenry                        "/>
    <s v="IL                           "/>
    <d v="1988-09-06T00:00:00"/>
    <x v="17"/>
    <x v="4"/>
    <d v="2025-11-30T00:00:00"/>
    <x v="0"/>
    <x v="0"/>
    <d v="2009-02-22T00:00:00"/>
    <x v="3"/>
    <n v="16"/>
    <n v="0"/>
    <x v="1"/>
    <x v="1"/>
    <x v="26"/>
    <n v="110"/>
    <n v="22"/>
    <n v="0.2"/>
  </r>
  <r>
    <x v="47"/>
    <x v="47"/>
    <s v="Isaiah"/>
    <s v="Cedric"/>
    <s v="3456 E. Main Parkway           "/>
    <x v="1"/>
    <s v="Duluth                         "/>
    <s v="MN                           "/>
    <d v="1956-06-04T00:00:00"/>
    <x v="16"/>
    <x v="3"/>
    <d v="2025-11-30T00:00:00"/>
    <x v="1"/>
    <x v="1"/>
    <d v="2008-01-06T00:00:00"/>
    <x v="0"/>
    <n v="17"/>
    <n v="1"/>
    <x v="0"/>
    <x v="22"/>
    <x v="0"/>
    <n v="120"/>
    <n v="0"/>
    <n v="0.2"/>
  </r>
  <r>
    <x v="48"/>
    <x v="48"/>
    <s v="Jack"/>
    <s v="Christy"/>
    <s v="2345 N. River Dr.              "/>
    <x v="1"/>
    <s v="Milwaukee                      "/>
    <s v="WI                           "/>
    <d v="1956-03-26T00:00:00"/>
    <x v="16"/>
    <x v="3"/>
    <d v="2025-11-30T00:00:00"/>
    <x v="0"/>
    <x v="0"/>
    <d v="2008-01-07T00:00:00"/>
    <x v="0"/>
    <n v="17"/>
    <n v="1"/>
    <x v="0"/>
    <x v="23"/>
    <x v="0"/>
    <n v="190"/>
    <n v="38"/>
    <n v="0.2"/>
  </r>
  <r>
    <x v="49"/>
    <x v="49"/>
    <s v="Jackson"/>
    <s v="Clarence"/>
    <s v="234 Phillip                    "/>
    <x v="2"/>
    <s v="Melbourne                      "/>
    <s v="VIC                          "/>
    <d v="1956-08-30T00:00:00"/>
    <x v="16"/>
    <x v="3"/>
    <d v="2025-11-30T00:00:00"/>
    <x v="1"/>
    <x v="0"/>
    <d v="2008-02-02T00:00:00"/>
    <x v="3"/>
    <n v="17"/>
    <n v="0"/>
    <x v="1"/>
    <x v="1"/>
    <x v="27"/>
    <n v="610"/>
    <n v="0"/>
    <n v="0.2"/>
  </r>
  <r>
    <x v="50"/>
    <x v="50"/>
    <s v="Jada"/>
    <s v="Clayton"/>
    <s v="6543 N.E. Pusher Rd.           "/>
    <x v="1"/>
    <s v="Detroit                        "/>
    <s v="MI                           "/>
    <d v="1956-07-11T00:00:00"/>
    <x v="16"/>
    <x v="3"/>
    <d v="2025-11-30T00:00:00"/>
    <x v="0"/>
    <x v="0"/>
    <d v="2008-02-20T00:00:00"/>
    <x v="3"/>
    <n v="17"/>
    <n v="0"/>
    <x v="1"/>
    <x v="1"/>
    <x v="28"/>
    <n v="110"/>
    <n v="22"/>
    <n v="0.2"/>
  </r>
  <r>
    <x v="51"/>
    <x v="51"/>
    <s v="James"/>
    <s v="Colin"/>
    <s v="456 College Drive              "/>
    <x v="1"/>
    <s v="Benton Harbor                  "/>
    <s v="MI                           "/>
    <d v="1956-04-04T00:00:00"/>
    <x v="16"/>
    <x v="3"/>
    <d v="2025-11-30T00:00:00"/>
    <x v="1"/>
    <x v="1"/>
    <d v="2008-03-10T00:00:00"/>
    <x v="5"/>
    <n v="17"/>
    <n v="1"/>
    <x v="0"/>
    <x v="24"/>
    <x v="0"/>
    <n v="120"/>
    <n v="0"/>
    <n v="0.2"/>
  </r>
  <r>
    <x v="52"/>
    <x v="52"/>
    <s v="Jason"/>
    <s v="Colleen"/>
    <s v="987 Chestnut Avenue            "/>
    <x v="1"/>
    <s v="Chicago                        "/>
    <s v="IL                           "/>
    <d v="1956-03-29T00:00:00"/>
    <x v="16"/>
    <x v="3"/>
    <d v="2025-11-30T00:00:00"/>
    <x v="1"/>
    <x v="1"/>
    <d v="2008-03-28T00:00:00"/>
    <x v="5"/>
    <n v="17"/>
    <n v="0"/>
    <x v="1"/>
    <x v="1"/>
    <x v="29"/>
    <n v="110"/>
    <n v="0"/>
    <n v="0.2"/>
  </r>
  <r>
    <x v="53"/>
    <x v="53"/>
    <s v="Jay"/>
    <s v="Crystal"/>
    <s v="123 S.W.  49 Ave               "/>
    <x v="1"/>
    <s v="Indianapolis                   "/>
    <s v="IN                           "/>
    <d v="1986-09-10T00:00:00"/>
    <x v="7"/>
    <x v="4"/>
    <d v="2025-11-30T00:00:00"/>
    <x v="1"/>
    <x v="1"/>
    <d v="2010-01-01T00:00:00"/>
    <x v="0"/>
    <n v="15"/>
    <n v="1"/>
    <x v="0"/>
    <x v="25"/>
    <x v="0"/>
    <n v="190"/>
    <n v="0"/>
    <n v="0.2"/>
  </r>
  <r>
    <x v="54"/>
    <x v="54"/>
    <s v="Jay"/>
    <s v="Damien"/>
    <s v="5678 Broadway                  "/>
    <x v="0"/>
    <s v="Saskatoon                      "/>
    <s v="SK                           "/>
    <d v="1956-04-01T00:00:00"/>
    <x v="16"/>
    <x v="3"/>
    <d v="2025-11-30T00:00:00"/>
    <x v="1"/>
    <x v="0"/>
    <d v="2008-02-08T00:00:00"/>
    <x v="3"/>
    <n v="17"/>
    <n v="0"/>
    <x v="1"/>
    <x v="1"/>
    <x v="30"/>
    <n v="610"/>
    <n v="0"/>
    <n v="0.2"/>
  </r>
  <r>
    <x v="55"/>
    <x v="55"/>
    <s v="Jenna"/>
    <s v="Dawn"/>
    <s v="1234 2nd Street                "/>
    <x v="1"/>
    <s v="Rockford                       "/>
    <s v="IL                           "/>
    <d v="1988-07-06T00:00:00"/>
    <x v="17"/>
    <x v="4"/>
    <d v="2025-11-30T00:00:00"/>
    <x v="1"/>
    <x v="1"/>
    <d v="2009-02-05T00:00:00"/>
    <x v="3"/>
    <n v="16"/>
    <n v="0"/>
    <x v="1"/>
    <x v="1"/>
    <x v="31"/>
    <n v="190"/>
    <n v="0"/>
    <n v="0.2"/>
  </r>
  <r>
    <x v="56"/>
    <x v="56"/>
    <s v="Jennifer"/>
    <s v="Dennis"/>
    <s v="4321 East Wisconsin Ave.       "/>
    <x v="1"/>
    <s v="Chicago                        "/>
    <s v="IL                           "/>
    <d v="1971-07-24T00:00:00"/>
    <x v="1"/>
    <x v="0"/>
    <d v="2025-11-30T00:00:00"/>
    <x v="0"/>
    <x v="0"/>
    <d v="2009-02-23T00:00:00"/>
    <x v="3"/>
    <n v="16"/>
    <n v="1"/>
    <x v="0"/>
    <x v="26"/>
    <x v="0"/>
    <n v="360"/>
    <n v="72"/>
    <n v="0.2"/>
  </r>
  <r>
    <x v="57"/>
    <x v="57"/>
    <s v="Jeremy"/>
    <s v="Edwin"/>
    <s v="1234 S. Roberts St.            "/>
    <x v="1"/>
    <s v="Detroit                        "/>
    <s v="MI                           "/>
    <d v="1986-05-30T00:00:00"/>
    <x v="7"/>
    <x v="4"/>
    <d v="2025-11-30T00:00:00"/>
    <x v="1"/>
    <x v="0"/>
    <d v="2008-12-05T00:00:00"/>
    <x v="2"/>
    <n v="16"/>
    <n v="1"/>
    <x v="0"/>
    <x v="27"/>
    <x v="0"/>
    <n v="190"/>
    <n v="38"/>
    <n v="0.2"/>
  </r>
  <r>
    <x v="58"/>
    <x v="58"/>
    <s v="Jesse"/>
    <s v="Erica"/>
    <s v="123 Domino St. N               "/>
    <x v="1"/>
    <s v="Lansing                        "/>
    <s v="MI                           "/>
    <d v="1979-08-16T00:00:00"/>
    <x v="8"/>
    <x v="1"/>
    <d v="2025-11-30T00:00:00"/>
    <x v="0"/>
    <x v="0"/>
    <d v="2008-12-24T00:00:00"/>
    <x v="2"/>
    <n v="16"/>
    <n v="1"/>
    <x v="0"/>
    <x v="28"/>
    <x v="0"/>
    <n v="190"/>
    <n v="38"/>
    <n v="0.2"/>
  </r>
  <r>
    <x v="59"/>
    <x v="59"/>
    <s v="Jonathan"/>
    <s v="Ernest"/>
    <s v="987 Office Plaza Drive         "/>
    <x v="1"/>
    <s v="Detroit                        "/>
    <s v="MI                           "/>
    <d v="1977-02-03T00:00:00"/>
    <x v="18"/>
    <x v="1"/>
    <d v="2025-11-30T00:00:00"/>
    <x v="0"/>
    <x v="0"/>
    <d v="2009-01-11T00:00:00"/>
    <x v="0"/>
    <n v="16"/>
    <n v="1"/>
    <x v="0"/>
    <x v="29"/>
    <x v="0"/>
    <n v="150"/>
    <n v="30"/>
    <n v="0.2"/>
  </r>
  <r>
    <x v="60"/>
    <x v="60"/>
    <s v="Jordan"/>
    <s v="Eugene"/>
    <s v="87654 N 19th Avenue            "/>
    <x v="1"/>
    <s v="Chicago                        "/>
    <s v="IL                           "/>
    <d v="1989-08-09T00:00:00"/>
    <x v="11"/>
    <x v="4"/>
    <d v="2025-11-30T00:00:00"/>
    <x v="0"/>
    <x v="1"/>
    <d v="2009-01-18T00:00:00"/>
    <x v="0"/>
    <n v="16"/>
    <n v="0"/>
    <x v="1"/>
    <x v="1"/>
    <x v="32"/>
    <n v="120"/>
    <n v="0"/>
    <n v="0.2"/>
  </r>
  <r>
    <x v="61"/>
    <x v="61"/>
    <s v="Jordan"/>
    <s v="Franklin"/>
    <s v="123 N. Meriam Ave              "/>
    <x v="1"/>
    <s v="Grand Rapids                   "/>
    <s v="MI                           "/>
    <d v="1956-08-07T00:00:00"/>
    <x v="16"/>
    <x v="3"/>
    <d v="2025-11-30T00:00:00"/>
    <x v="1"/>
    <x v="0"/>
    <d v="2008-03-17T00:00:00"/>
    <x v="5"/>
    <n v="17"/>
    <n v="1"/>
    <x v="0"/>
    <x v="30"/>
    <x v="0"/>
    <n v="610"/>
    <n v="122"/>
    <n v="0.2"/>
  </r>
  <r>
    <x v="62"/>
    <x v="62"/>
    <s v="Jose"/>
    <s v="Gilbert"/>
    <s v="432 12 Ave. North              "/>
    <x v="0"/>
    <s v="Vancouver                      "/>
    <s v="BC                           "/>
    <d v="1955-01-30T00:00:00"/>
    <x v="23"/>
    <x v="3"/>
    <d v="2025-11-30T00:00:00"/>
    <x v="0"/>
    <x v="0"/>
    <d v="2010-01-29T00:00:00"/>
    <x v="0"/>
    <n v="15"/>
    <n v="1"/>
    <x v="0"/>
    <x v="31"/>
    <x v="0"/>
    <n v="190"/>
    <n v="0"/>
    <n v="0.2"/>
  </r>
  <r>
    <x v="63"/>
    <x v="63"/>
    <s v="Julia"/>
    <s v="Glenn"/>
    <s v="123 Albert Ave                 "/>
    <x v="3"/>
    <s v="Palmerston North               "/>
    <s v="                             "/>
    <d v="1973-09-05T00:00:00"/>
    <x v="20"/>
    <x v="0"/>
    <d v="2025-11-30T00:00:00"/>
    <x v="0"/>
    <x v="0"/>
    <d v="2010-02-23T00:00:00"/>
    <x v="3"/>
    <n v="15"/>
    <n v="0"/>
    <x v="1"/>
    <x v="1"/>
    <x v="33"/>
    <n v="190"/>
    <n v="0"/>
    <n v="0.2"/>
  </r>
  <r>
    <x v="64"/>
    <x v="64"/>
    <s v="Kaitlyn"/>
    <s v="Heather"/>
    <s v="321 Park Drive                 "/>
    <x v="1"/>
    <s v="Columbia                       "/>
    <s v="MO                           "/>
    <d v="1970-04-28T00:00:00"/>
    <x v="24"/>
    <x v="0"/>
    <d v="2025-11-30T00:00:00"/>
    <x v="1"/>
    <x v="0"/>
    <d v="2010-02-23T00:00:00"/>
    <x v="3"/>
    <n v="15"/>
    <n v="0"/>
    <x v="1"/>
    <x v="1"/>
    <x v="34"/>
    <n v="120"/>
    <n v="24"/>
    <n v="0.2"/>
  </r>
  <r>
    <x v="65"/>
    <x v="65"/>
    <s v="Katelyn"/>
    <s v="Jaclyn"/>
    <s v="9876 Stevens Street            "/>
    <x v="1"/>
    <s v="Kansas City                    "/>
    <s v="MO                           "/>
    <d v="1970-03-07T00:00:00"/>
    <x v="24"/>
    <x v="0"/>
    <d v="2025-11-30T00:00:00"/>
    <x v="0"/>
    <x v="0"/>
    <d v="2009-12-22T00:00:00"/>
    <x v="2"/>
    <n v="15"/>
    <n v="1"/>
    <x v="0"/>
    <x v="32"/>
    <x v="0"/>
    <n v="190"/>
    <n v="38"/>
    <n v="0.2"/>
  </r>
  <r>
    <x v="66"/>
    <x v="66"/>
    <s v="Katherine"/>
    <s v="Jake"/>
    <s v="123 Sugar Grove                "/>
    <x v="1"/>
    <s v="Columbia                       "/>
    <s v="MO                           "/>
    <d v="1976-02-11T00:00:00"/>
    <x v="22"/>
    <x v="1"/>
    <d v="2025-11-30T00:00:00"/>
    <x v="0"/>
    <x v="0"/>
    <d v="2009-03-05T00:00:00"/>
    <x v="5"/>
    <n v="16"/>
    <n v="0"/>
    <x v="1"/>
    <x v="1"/>
    <x v="35"/>
    <n v="190"/>
    <n v="38"/>
    <n v="0.2"/>
  </r>
  <r>
    <x v="67"/>
    <x v="67"/>
    <s v="Kaylee"/>
    <s v="Jamie"/>
    <s v="456 19th Street S.             "/>
    <x v="1"/>
    <s v="Chicago                        "/>
    <s v="IL                           "/>
    <d v="1971-09-02T00:00:00"/>
    <x v="1"/>
    <x v="0"/>
    <d v="2025-11-30T00:00:00"/>
    <x v="0"/>
    <x v="0"/>
    <d v="2009-12-03T00:00:00"/>
    <x v="2"/>
    <n v="15"/>
    <n v="1"/>
    <x v="0"/>
    <x v="33"/>
    <x v="0"/>
    <n v="190"/>
    <n v="38"/>
    <n v="0.2"/>
  </r>
  <r>
    <x v="68"/>
    <x v="68"/>
    <s v="Kevin"/>
    <s v="Jeffery"/>
    <s v="8765 66 Ave.                   "/>
    <x v="0"/>
    <s v="Toronto                        "/>
    <s v="ON                           "/>
    <d v="1991-04-06T00:00:00"/>
    <x v="25"/>
    <x v="4"/>
    <d v="2025-11-30T00:00:00"/>
    <x v="0"/>
    <x v="0"/>
    <d v="2009-02-15T00:00:00"/>
    <x v="3"/>
    <n v="16"/>
    <n v="0"/>
    <x v="1"/>
    <x v="1"/>
    <x v="36"/>
    <n v="190"/>
    <n v="0"/>
    <n v="0.2"/>
  </r>
  <r>
    <x v="69"/>
    <x v="69"/>
    <s v="Kyle"/>
    <s v="Jenny"/>
    <s v="P.O. Box 3343                  "/>
    <x v="1"/>
    <s v="Detroit                        "/>
    <s v="MI                           "/>
    <d v="1984-12-29T00:00:00"/>
    <x v="26"/>
    <x v="4"/>
    <d v="2025-11-30T00:00:00"/>
    <x v="1"/>
    <x v="0"/>
    <d v="2008-12-15T00:00:00"/>
    <x v="2"/>
    <n v="16"/>
    <n v="1"/>
    <x v="0"/>
    <x v="34"/>
    <x v="0"/>
    <n v="610"/>
    <n v="122"/>
    <n v="0.2"/>
  </r>
  <r>
    <x v="70"/>
    <x v="70"/>
    <s v="Logan"/>
    <s v="Jessie"/>
    <s v="123 Alfred St                  "/>
    <x v="2"/>
    <s v="Sydney                         "/>
    <s v="NSW                          "/>
    <d v="1989-01-29T00:00:00"/>
    <x v="11"/>
    <x v="4"/>
    <d v="2025-11-30T00:00:00"/>
    <x v="0"/>
    <x v="0"/>
    <d v="2009-02-15T00:00:00"/>
    <x v="3"/>
    <n v="16"/>
    <n v="1"/>
    <x v="0"/>
    <x v="35"/>
    <x v="0"/>
    <n v="110"/>
    <n v="0"/>
    <n v="0.2"/>
  </r>
  <r>
    <x v="71"/>
    <x v="71"/>
    <s v="Lucas"/>
    <s v="Jon"/>
    <s v="456 Sherwood Park South        "/>
    <x v="1"/>
    <s v="Arlington Heights              "/>
    <s v="IL                           "/>
    <d v="1977-05-14T00:00:00"/>
    <x v="18"/>
    <x v="1"/>
    <d v="2025-11-30T00:00:00"/>
    <x v="1"/>
    <x v="0"/>
    <d v="2008-12-01T00:00:00"/>
    <x v="2"/>
    <n v="16"/>
    <n v="1"/>
    <x v="0"/>
    <x v="36"/>
    <x v="0"/>
    <n v="190"/>
    <n v="38"/>
    <n v="0.2"/>
  </r>
  <r>
    <x v="72"/>
    <x v="72"/>
    <s v="Luis"/>
    <s v="Jorge"/>
    <s v="321 Garden Mall                "/>
    <x v="1"/>
    <s v="Lincoln                        "/>
    <s v="NE                           "/>
    <d v="1983-10-19T00:00:00"/>
    <x v="14"/>
    <x v="1"/>
    <d v="2025-11-30T00:00:00"/>
    <x v="1"/>
    <x v="1"/>
    <d v="2008-12-19T00:00:00"/>
    <x v="2"/>
    <n v="16"/>
    <n v="0"/>
    <x v="1"/>
    <x v="1"/>
    <x v="37"/>
    <n v="120"/>
    <n v="0"/>
    <n v="0.2"/>
  </r>
  <r>
    <x v="73"/>
    <x v="73"/>
    <s v="Luke"/>
    <s v="Karen"/>
    <s v="987 West Alaska Ave            "/>
    <x v="1"/>
    <s v="Gary                           "/>
    <s v="IN                           "/>
    <d v="1989-11-06T00:00:00"/>
    <x v="11"/>
    <x v="4"/>
    <d v="2025-11-30T00:00:00"/>
    <x v="0"/>
    <x v="0"/>
    <d v="2009-01-07T00:00:00"/>
    <x v="0"/>
    <n v="16"/>
    <n v="0"/>
    <x v="1"/>
    <x v="1"/>
    <x v="38"/>
    <n v="190"/>
    <n v="38"/>
    <n v="0.2"/>
  </r>
  <r>
    <x v="74"/>
    <x v="74"/>
    <s v="Mackenzie"/>
    <s v="Kelli"/>
    <s v="567 W 7th St.                  "/>
    <x v="1"/>
    <s v="Bloomington                    "/>
    <s v="IL                           "/>
    <d v="1982-06-27T00:00:00"/>
    <x v="15"/>
    <x v="1"/>
    <d v="2025-11-30T00:00:00"/>
    <x v="0"/>
    <x v="0"/>
    <d v="2009-01-26T00:00:00"/>
    <x v="0"/>
    <n v="16"/>
    <n v="0"/>
    <x v="1"/>
    <x v="1"/>
    <x v="39"/>
    <n v="120"/>
    <n v="24"/>
    <n v="0.2"/>
  </r>
  <r>
    <x v="75"/>
    <x v="75"/>
    <s v="Marcus"/>
    <s v="Kelvin"/>
    <s v="One Microsoft Way              "/>
    <x v="1"/>
    <s v="Redmond                        "/>
    <s v="WA                           "/>
    <d v="1988-10-17T00:00:00"/>
    <x v="17"/>
    <x v="4"/>
    <d v="2025-11-30T00:00:00"/>
    <x v="1"/>
    <x v="1"/>
    <d v="2009-02-12T00:00:00"/>
    <x v="3"/>
    <n v="16"/>
    <n v="1"/>
    <x v="0"/>
    <x v="37"/>
    <x v="0"/>
    <n v="120"/>
    <n v="0"/>
    <n v="0.2"/>
  </r>
  <r>
    <x v="76"/>
    <x v="76"/>
    <s v="Maria"/>
    <s v="Krystal"/>
    <s v="Suite 9876                     "/>
    <x v="1"/>
    <s v="Indianapolis                   "/>
    <s v="IN                           "/>
    <d v="1983-05-13T00:00:00"/>
    <x v="14"/>
    <x v="1"/>
    <d v="2025-11-30T00:00:00"/>
    <x v="1"/>
    <x v="1"/>
    <d v="2009-03-03T00:00:00"/>
    <x v="5"/>
    <n v="16"/>
    <n v="1"/>
    <x v="0"/>
    <x v="38"/>
    <x v="0"/>
    <n v="110"/>
    <n v="0"/>
    <n v="0.2"/>
  </r>
  <r>
    <x v="77"/>
    <x v="77"/>
    <s v="Mary"/>
    <s v="Lacey"/>
    <s v="Suite 123                      "/>
    <x v="1"/>
    <s v="Fond Du Lac                    "/>
    <s v="WI                           "/>
    <d v="1987-08-27T00:00:00"/>
    <x v="6"/>
    <x v="4"/>
    <d v="2025-11-30T00:00:00"/>
    <x v="1"/>
    <x v="0"/>
    <d v="2008-12-15T00:00:00"/>
    <x v="2"/>
    <n v="16"/>
    <n v="1"/>
    <x v="0"/>
    <x v="39"/>
    <x v="0"/>
    <n v="120"/>
    <n v="24"/>
    <n v="0.2"/>
  </r>
  <r>
    <x v="78"/>
    <x v="78"/>
    <s v="Mason"/>
    <s v="Laura"/>
    <s v="1234 Burke                     "/>
    <x v="2"/>
    <s v="Melbourne                      "/>
    <s v="VIC                          "/>
    <d v="1966-12-08T00:00:00"/>
    <x v="19"/>
    <x v="0"/>
    <d v="2025-11-30T00:00:00"/>
    <x v="1"/>
    <x v="0"/>
    <d v="2010-01-24T00:00:00"/>
    <x v="0"/>
    <n v="15"/>
    <n v="0"/>
    <x v="1"/>
    <x v="1"/>
    <x v="40"/>
    <n v="110"/>
    <n v="0"/>
    <n v="0.2"/>
  </r>
  <r>
    <x v="79"/>
    <x v="79"/>
    <s v="Miguel"/>
    <s v="Leah"/>
    <s v="3456 Arbutus St.               "/>
    <x v="0"/>
    <s v="Montreal                       "/>
    <s v="PQ                           "/>
    <d v="1970-12-03T00:00:00"/>
    <x v="1"/>
    <x v="0"/>
    <d v="2025-11-30T00:00:00"/>
    <x v="0"/>
    <x v="0"/>
    <d v="2010-01-17T00:00:00"/>
    <x v="0"/>
    <n v="15"/>
    <n v="1"/>
    <x v="0"/>
    <x v="40"/>
    <x v="0"/>
    <n v="190"/>
    <n v="0"/>
    <n v="0.2"/>
  </r>
  <r>
    <x v="80"/>
    <x v="80"/>
    <s v="Morgan"/>
    <s v="Lisa"/>
    <s v="789 North Carlton Place        "/>
    <x v="1"/>
    <s v="St. Louis                      "/>
    <s v="MO                           "/>
    <d v="1971-03-09T00:00:00"/>
    <x v="1"/>
    <x v="0"/>
    <d v="2025-11-30T00:00:00"/>
    <x v="0"/>
    <x v="0"/>
    <d v="2009-12-29T00:00:00"/>
    <x v="2"/>
    <n v="15"/>
    <n v="0"/>
    <x v="1"/>
    <x v="1"/>
    <x v="41"/>
    <n v="190"/>
    <n v="38"/>
    <n v="0.2"/>
  </r>
  <r>
    <x v="81"/>
    <x v="81"/>
    <s v="Natalie"/>
    <s v="Louis"/>
    <s v="3456 North Calumet Avenue      "/>
    <x v="1"/>
    <s v="Iowa City                      "/>
    <s v="IA                           "/>
    <d v="1973-08-29T00:00:00"/>
    <x v="20"/>
    <x v="0"/>
    <d v="2025-11-30T00:00:00"/>
    <x v="0"/>
    <x v="0"/>
    <d v="2010-03-03T00:00:00"/>
    <x v="5"/>
    <n v="15"/>
    <n v="1"/>
    <x v="0"/>
    <x v="41"/>
    <x v="0"/>
    <n v="190"/>
    <n v="38"/>
    <n v="0.2"/>
  </r>
  <r>
    <x v="82"/>
    <x v="82"/>
    <s v="Nathan"/>
    <s v="Margaret"/>
    <s v="5678 Horseshoe Way             "/>
    <x v="1"/>
    <s v="Aurora                         "/>
    <s v="IL                           "/>
    <d v="1973-12-23T00:00:00"/>
    <x v="2"/>
    <x v="0"/>
    <d v="2025-11-30T00:00:00"/>
    <x v="1"/>
    <x v="0"/>
    <d v="2010-02-12T00:00:00"/>
    <x v="3"/>
    <n v="15"/>
    <n v="0"/>
    <x v="1"/>
    <x v="1"/>
    <x v="42"/>
    <n v="120"/>
    <n v="24"/>
    <n v="0.2"/>
  </r>
  <r>
    <x v="83"/>
    <x v="83"/>
    <s v="Noah"/>
    <s v="Marshall"/>
    <s v="8765 51 Ave S                  "/>
    <x v="1"/>
    <s v="Minneapolis                    "/>
    <s v="MN                           "/>
    <d v="1952-03-02T00:00:00"/>
    <x v="4"/>
    <x v="2"/>
    <d v="2025-11-30T00:00:00"/>
    <x v="1"/>
    <x v="0"/>
    <d v="2010-02-05T00:00:00"/>
    <x v="3"/>
    <n v="15"/>
    <n v="1"/>
    <x v="0"/>
    <x v="42"/>
    <x v="0"/>
    <n v="110"/>
    <n v="22"/>
    <n v="0.2"/>
  </r>
  <r>
    <x v="84"/>
    <x v="84"/>
    <s v="Rebecca"/>
    <s v="Micah"/>
    <s v="2345 Aukland St. West          "/>
    <x v="1"/>
    <s v="Chicago                        "/>
    <s v="IL                           "/>
    <d v="1970-12-23T00:00:00"/>
    <x v="1"/>
    <x v="0"/>
    <d v="2025-11-30T00:00:00"/>
    <x v="0"/>
    <x v="0"/>
    <d v="2009-12-11T00:00:00"/>
    <x v="2"/>
    <n v="15"/>
    <n v="1"/>
    <x v="0"/>
    <x v="43"/>
    <x v="0"/>
    <n v="110"/>
    <n v="22"/>
    <n v="0.2"/>
  </r>
  <r>
    <x v="85"/>
    <x v="85"/>
    <s v="Richard"/>
    <s v="Omar"/>
    <s v="789 University Ave             "/>
    <x v="1"/>
    <s v="Fort Wayne                     "/>
    <s v="IN                           "/>
    <d v="1972-06-13T00:00:00"/>
    <x v="27"/>
    <x v="0"/>
    <d v="2025-11-30T00:00:00"/>
    <x v="1"/>
    <x v="0"/>
    <d v="2009-01-05T00:00:00"/>
    <x v="0"/>
    <n v="16"/>
    <n v="0"/>
    <x v="1"/>
    <x v="1"/>
    <x v="43"/>
    <n v="120"/>
    <n v="24"/>
    <n v="0.2"/>
  </r>
  <r>
    <x v="86"/>
    <x v="86"/>
    <s v="Robert"/>
    <s v="Rafael"/>
    <s v="345 Industrial Drive           "/>
    <x v="1"/>
    <s v="Beatrice                       "/>
    <s v="NE                           "/>
    <d v="1984-04-11T00:00:00"/>
    <x v="9"/>
    <x v="1"/>
    <d v="2025-11-30T00:00:00"/>
    <x v="1"/>
    <x v="0"/>
    <d v="2008-12-22T00:00:00"/>
    <x v="2"/>
    <n v="16"/>
    <n v="1"/>
    <x v="0"/>
    <x v="44"/>
    <x v="0"/>
    <n v="190"/>
    <n v="38"/>
    <n v="0.2"/>
  </r>
  <r>
    <x v="87"/>
    <x v="87"/>
    <s v="Samuel"/>
    <s v="Randy"/>
    <s v="Place 123, Suite 3             "/>
    <x v="0"/>
    <s v="Winnipeg                       "/>
    <s v="MB                           "/>
    <d v="1966-12-17T00:00:00"/>
    <x v="19"/>
    <x v="0"/>
    <d v="2025-11-30T00:00:00"/>
    <x v="0"/>
    <x v="1"/>
    <d v="2009-12-18T00:00:00"/>
    <x v="2"/>
    <n v="15"/>
    <n v="0"/>
    <x v="1"/>
    <x v="1"/>
    <x v="44"/>
    <n v="120"/>
    <n v="0"/>
    <n v="0.2"/>
  </r>
  <r>
    <x v="88"/>
    <x v="88"/>
    <s v="Sara"/>
    <s v="Roger"/>
    <s v="765 Curtis                     "/>
    <x v="0"/>
    <s v="Vancouver                      "/>
    <s v="BC                           "/>
    <d v="1986-09-10T00:00:00"/>
    <x v="7"/>
    <x v="4"/>
    <d v="2025-11-30T00:00:00"/>
    <x v="0"/>
    <x v="0"/>
    <d v="2010-02-01T00:00:00"/>
    <x v="3"/>
    <n v="15"/>
    <n v="1"/>
    <x v="0"/>
    <x v="45"/>
    <x v="0"/>
    <n v="120"/>
    <n v="0"/>
    <n v="0.2"/>
  </r>
  <r>
    <x v="89"/>
    <x v="89"/>
    <s v="Savannah"/>
    <s v="Ronnie"/>
    <s v="23456 Meridan St. N.E.         "/>
    <x v="1"/>
    <s v="Green Bay                      "/>
    <s v="WI                           "/>
    <d v="1986-09-07T00:00:00"/>
    <x v="7"/>
    <x v="4"/>
    <d v="2025-11-30T00:00:00"/>
    <x v="0"/>
    <x v="1"/>
    <d v="2010-02-20T00:00:00"/>
    <x v="3"/>
    <n v="15"/>
    <n v="0"/>
    <x v="1"/>
    <x v="1"/>
    <x v="45"/>
    <n v="110"/>
    <n v="0"/>
    <n v="0.2"/>
  </r>
  <r>
    <x v="90"/>
    <x v="90"/>
    <s v="Sean"/>
    <s v="Sandra"/>
    <s v="456 Mineral Point Road         "/>
    <x v="1"/>
    <s v="Omaha                          "/>
    <s v="NE                           "/>
    <d v="1986-09-13T00:00:00"/>
    <x v="7"/>
    <x v="4"/>
    <d v="2025-11-30T00:00:00"/>
    <x v="0"/>
    <x v="1"/>
    <d v="2010-01-12T00:00:00"/>
    <x v="0"/>
    <n v="15"/>
    <n v="1"/>
    <x v="0"/>
    <x v="46"/>
    <x v="0"/>
    <n v="120"/>
    <n v="0"/>
    <n v="0.2"/>
  </r>
  <r>
    <x v="91"/>
    <x v="91"/>
    <s v="Seth"/>
    <s v="Shannon"/>
    <s v="234 103 Ave.                   "/>
    <x v="0"/>
    <s v="Ottawa                         "/>
    <s v="ON                           "/>
    <d v="1986-10-01T00:00:00"/>
    <x v="7"/>
    <x v="4"/>
    <d v="2025-11-30T00:00:00"/>
    <x v="1"/>
    <x v="0"/>
    <d v="2010-03-10T00:00:00"/>
    <x v="5"/>
    <n v="15"/>
    <n v="0"/>
    <x v="1"/>
    <x v="1"/>
    <x v="46"/>
    <n v="190"/>
    <n v="0"/>
    <n v="0.2"/>
  </r>
  <r>
    <x v="92"/>
    <x v="92"/>
    <s v="Stephanie"/>
    <s v="Stacey"/>
    <s v="123 Churchill Rd               "/>
    <x v="2"/>
    <s v="Sydney                         "/>
    <s v="NSW                          "/>
    <d v="1980-04-28T00:00:00"/>
    <x v="28"/>
    <x v="1"/>
    <d v="2025-11-30T00:00:00"/>
    <x v="0"/>
    <x v="0"/>
    <d v="2008-12-27T00:00:00"/>
    <x v="2"/>
    <n v="16"/>
    <n v="1"/>
    <x v="0"/>
    <x v="47"/>
    <x v="0"/>
    <n v="610"/>
    <n v="0"/>
    <n v="0.2"/>
  </r>
  <r>
    <x v="93"/>
    <x v="93"/>
    <s v="Sydney"/>
    <s v="Susan"/>
    <s v="23456 82 Ave.                  "/>
    <x v="1"/>
    <s v="Ames                           "/>
    <s v="IA                           "/>
    <d v="1972-11-25T00:00:00"/>
    <x v="27"/>
    <x v="0"/>
    <d v="2025-11-30T00:00:00"/>
    <x v="1"/>
    <x v="0"/>
    <d v="2008-12-12T00:00:00"/>
    <x v="2"/>
    <n v="16"/>
    <n v="1"/>
    <x v="0"/>
    <x v="48"/>
    <x v="0"/>
    <n v="190"/>
    <n v="38"/>
    <n v="0.2"/>
  </r>
  <r>
    <x v="94"/>
    <x v="94"/>
    <s v="Thomas"/>
    <s v="Suzanne"/>
    <s v="678 Falcon                     "/>
    <x v="2"/>
    <s v="Sydney                         "/>
    <s v="NSW                          "/>
    <d v="1986-09-08T00:00:00"/>
    <x v="7"/>
    <x v="4"/>
    <d v="2025-11-30T00:00:00"/>
    <x v="1"/>
    <x v="0"/>
    <d v="2008-12-19T00:00:00"/>
    <x v="2"/>
    <n v="16"/>
    <n v="1"/>
    <x v="0"/>
    <x v="49"/>
    <x v="0"/>
    <n v="360"/>
    <n v="0"/>
    <n v="0.2"/>
  </r>
  <r>
    <x v="95"/>
    <x v="95"/>
    <s v="Wyatt"/>
    <s v="Tamara"/>
    <s v="Suite 13                       "/>
    <x v="1"/>
    <s v="La Crosse                      "/>
    <s v="WI                           "/>
    <d v="1990-01-25T00:00:00"/>
    <x v="21"/>
    <x v="4"/>
    <d v="2025-11-30T00:00:00"/>
    <x v="1"/>
    <x v="1"/>
    <d v="2009-03-02T00:00:00"/>
    <x v="5"/>
    <n v="16"/>
    <n v="0"/>
    <x v="1"/>
    <x v="1"/>
    <x v="47"/>
    <n v="190"/>
    <n v="0"/>
    <n v="0.2"/>
  </r>
  <r>
    <x v="96"/>
    <x v="96"/>
    <s v="Xavier"/>
    <s v="Tiffany"/>
    <s v="765 West 24th Street           "/>
    <x v="1"/>
    <s v="Peoria                         "/>
    <s v="IL                           "/>
    <d v="1986-03-21T00:00:00"/>
    <x v="7"/>
    <x v="4"/>
    <d v="2025-11-30T00:00:00"/>
    <x v="0"/>
    <x v="0"/>
    <d v="2009-02-10T00:00:00"/>
    <x v="3"/>
    <n v="16"/>
    <n v="1"/>
    <x v="0"/>
    <x v="50"/>
    <x v="0"/>
    <n v="190"/>
    <n v="38"/>
    <n v="0.2"/>
  </r>
  <r>
    <x v="97"/>
    <x v="97"/>
    <s v="Ronald"/>
    <s v="Todd"/>
    <s v="9876 112 St.                   "/>
    <x v="0"/>
    <s v="Edmonton                       "/>
    <s v="AB                           "/>
    <d v="1978-06-26T00:00:00"/>
    <x v="10"/>
    <x v="1"/>
    <d v="2025-11-30T00:00:00"/>
    <x v="1"/>
    <x v="0"/>
    <d v="2009-02-11T00:00:00"/>
    <x v="3"/>
    <n v="16"/>
    <n v="1"/>
    <x v="0"/>
    <x v="51"/>
    <x v="0"/>
    <n v="190"/>
    <n v="0"/>
    <n v="0.2"/>
  </r>
  <r>
    <x v="98"/>
    <x v="98"/>
    <s v="Osarumwense"/>
    <s v="Valerie"/>
    <s v="1234 SE Marine                 "/>
    <x v="1"/>
    <s v="St. Louis                      "/>
    <s v="MO                           "/>
    <d v="1979-03-29T00:00:00"/>
    <x v="8"/>
    <x v="1"/>
    <d v="2025-11-30T00:00:00"/>
    <x v="0"/>
    <x v="0"/>
    <d v="2009-01-06T00:00:00"/>
    <x v="0"/>
    <n v="16"/>
    <n v="1"/>
    <x v="0"/>
    <x v="52"/>
    <x v="0"/>
    <n v="160"/>
    <n v="32"/>
    <n v="0.2"/>
  </r>
  <r>
    <x v="99"/>
    <x v="99"/>
    <s v="Samuel"/>
    <s v="Vincent"/>
    <s v="8765 9 St. W.                  "/>
    <x v="1"/>
    <s v="St. Paul                       "/>
    <s v="MN                           "/>
    <d v="1973-01-24T00:00:00"/>
    <x v="20"/>
    <x v="0"/>
    <d v="2025-11-30T00:00:00"/>
    <x v="1"/>
    <x v="0"/>
    <d v="2009-01-12T00:00:00"/>
    <x v="0"/>
    <n v="16"/>
    <n v="1"/>
    <x v="0"/>
    <x v="53"/>
    <x v="0"/>
    <n v="120"/>
    <n v="24"/>
    <n v="0.2"/>
  </r>
  <r>
    <x v="100"/>
    <x v="100"/>
    <s v="James"/>
    <s v="Wesley"/>
    <s v="456 17 St S                    "/>
    <x v="1"/>
    <s v="Madison                        "/>
    <s v="WI                           "/>
    <d v="1971-08-30T00:00:00"/>
    <x v="1"/>
    <x v="0"/>
    <d v="2025-11-30T00:00:00"/>
    <x v="1"/>
    <x v="0"/>
    <d v="2009-01-25T00:00:00"/>
    <x v="0"/>
    <n v="16"/>
    <n v="1"/>
    <x v="0"/>
    <x v="54"/>
    <x v="0"/>
    <n v="110"/>
    <n v="22"/>
    <n v="0.2"/>
  </r>
  <r>
    <x v="101"/>
    <x v="101"/>
    <s v="Robert"/>
    <s v="Willie"/>
    <s v="9876 Bernard St.               "/>
    <x v="0"/>
    <s v="Edmonton                       "/>
    <s v="AB                           "/>
    <d v="1983-10-26T00:00:00"/>
    <x v="14"/>
    <x v="1"/>
    <d v="2025-11-30T00:00:00"/>
    <x v="0"/>
    <x v="0"/>
    <d v="2008-12-03T00:00:00"/>
    <x v="2"/>
    <n v="16"/>
    <n v="0"/>
    <x v="1"/>
    <x v="1"/>
    <x v="48"/>
    <n v="610"/>
    <n v="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4" rowHeaderCaption="Payment Status">
  <location ref="AC10:AD113" firstHeaderRow="1" firstDataRow="1" firstDataCol="1"/>
  <pivotFields count="24">
    <pivotField axis="axisRow" showAll="0" sortType="descending">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autoSortScope>
        <pivotArea dataOnly="0" outline="0" fieldPosition="0">
          <references count="1">
            <reference field="4294967294" count="1" selected="0">
              <x v="0"/>
            </reference>
          </references>
        </pivotArea>
      </autoSortScope>
    </pivotField>
    <pivotField showAll="0">
      <items count="10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x="1"/>
        <item x="72"/>
        <item x="2"/>
        <item x="73"/>
        <item x="3"/>
        <item x="74"/>
        <item x="4"/>
        <item x="75"/>
        <item x="5"/>
        <item x="76"/>
        <item x="6"/>
        <item x="7"/>
        <item x="77"/>
        <item x="8"/>
        <item x="78"/>
        <item x="79"/>
        <item x="9"/>
        <item x="80"/>
        <item x="10"/>
        <item x="11"/>
        <item x="81"/>
        <item x="12"/>
        <item x="13"/>
        <item x="82"/>
        <item x="83"/>
        <item x="14"/>
        <item x="15"/>
        <item x="84"/>
        <item x="16"/>
        <item x="85"/>
        <item x="17"/>
        <item x="86"/>
        <item x="18"/>
        <item x="19"/>
        <item x="87"/>
        <item x="20"/>
        <item x="88"/>
        <item x="89"/>
        <item x="21"/>
        <item x="22"/>
        <item x="90"/>
        <item x="23"/>
        <item x="91"/>
        <item x="24"/>
        <item x="92"/>
        <item x="25"/>
        <item x="26"/>
        <item x="93"/>
        <item x="27"/>
        <item x="94"/>
        <item x="28"/>
        <item x="95"/>
        <item x="29"/>
        <item x="96"/>
        <item x="97"/>
        <item x="30"/>
        <item x="31"/>
        <item x="98"/>
        <item x="32"/>
        <item x="99"/>
        <item x="33"/>
        <item x="34"/>
        <item x="100"/>
        <item x="101"/>
        <item t="default"/>
      </items>
    </pivotField>
    <pivotField showAll="0"/>
    <pivotField showAll="0"/>
    <pivotField showAll="0"/>
    <pivotField showAll="0">
      <items count="5">
        <item x="2"/>
        <item x="0"/>
        <item x="3"/>
        <item x="1"/>
        <item t="default"/>
      </items>
    </pivotField>
    <pivotField showAll="0"/>
    <pivotField showAll="0"/>
    <pivotField numFmtId="14" showAll="0"/>
    <pivotField numFmtId="1" showAll="0">
      <items count="30">
        <item x="25"/>
        <item x="21"/>
        <item x="11"/>
        <item x="17"/>
        <item x="6"/>
        <item x="7"/>
        <item x="26"/>
        <item x="9"/>
        <item x="14"/>
        <item x="15"/>
        <item x="28"/>
        <item x="8"/>
        <item x="10"/>
        <item x="18"/>
        <item x="22"/>
        <item x="3"/>
        <item x="2"/>
        <item x="20"/>
        <item x="27"/>
        <item x="1"/>
        <item x="24"/>
        <item x="0"/>
        <item x="19"/>
        <item x="13"/>
        <item x="12"/>
        <item x="5"/>
        <item x="16"/>
        <item x="23"/>
        <item x="4"/>
        <item t="default"/>
      </items>
    </pivotField>
    <pivotField showAll="0"/>
    <pivotField numFmtId="14" showAll="0"/>
    <pivotField showAll="0">
      <items count="3">
        <item x="1"/>
        <item x="0"/>
        <item t="default"/>
      </items>
    </pivotField>
    <pivotField showAll="0">
      <items count="3">
        <item x="1"/>
        <item x="0"/>
        <item t="default"/>
      </items>
    </pivotField>
    <pivotField numFmtId="14" showAll="0"/>
    <pivotField showAll="0"/>
    <pivotField numFmtId="1" showAll="0"/>
    <pivotField showAll="0"/>
    <pivotField showAll="0">
      <items count="3">
        <item x="0"/>
        <item x="1"/>
        <item t="default"/>
      </items>
    </pivotField>
    <pivotField showAll="0" defaultSubtotal="0"/>
    <pivotField showAll="0" defaultSubtotal="0"/>
    <pivotField numFmtId="44" showAll="0"/>
    <pivotField dataField="1" showAll="0"/>
    <pivotField numFmtId="2" showAll="0"/>
  </pivotFields>
  <rowFields count="1">
    <field x="0"/>
  </rowFields>
  <rowItems count="103">
    <i>
      <x v="11"/>
    </i>
    <i>
      <x v="69"/>
    </i>
    <i>
      <x v="61"/>
    </i>
    <i>
      <x v="56"/>
    </i>
    <i>
      <x v="35"/>
    </i>
    <i>
      <x v="24"/>
    </i>
    <i>
      <x v="32"/>
    </i>
    <i>
      <x v="45"/>
    </i>
    <i>
      <x v="25"/>
    </i>
    <i>
      <x v="86"/>
    </i>
    <i>
      <x v="71"/>
    </i>
    <i>
      <x v="66"/>
    </i>
    <i>
      <x v="17"/>
    </i>
    <i>
      <x v="80"/>
    </i>
    <i>
      <x v="38"/>
    </i>
    <i>
      <x v="65"/>
    </i>
    <i>
      <x v="93"/>
    </i>
    <i>
      <x v="16"/>
    </i>
    <i>
      <x v="67"/>
    </i>
    <i>
      <x v="96"/>
    </i>
    <i>
      <x v="73"/>
    </i>
    <i>
      <x v="20"/>
    </i>
    <i>
      <x v="81"/>
    </i>
    <i>
      <x v="58"/>
    </i>
    <i>
      <x v="27"/>
    </i>
    <i>
      <x v="3"/>
    </i>
    <i>
      <x v="48"/>
    </i>
    <i>
      <x v="57"/>
    </i>
    <i>
      <x v="40"/>
    </i>
    <i>
      <x v="98"/>
    </i>
    <i>
      <x v="59"/>
    </i>
    <i>
      <x v="85"/>
    </i>
    <i>
      <x v="99"/>
    </i>
    <i>
      <x v="64"/>
    </i>
    <i>
      <x v="74"/>
    </i>
    <i>
      <x v="6"/>
    </i>
    <i>
      <x v="77"/>
    </i>
    <i>
      <x v="13"/>
    </i>
    <i>
      <x v="2"/>
    </i>
    <i>
      <x v="5"/>
    </i>
    <i>
      <x v="15"/>
    </i>
    <i>
      <x v="82"/>
    </i>
    <i>
      <x v="100"/>
    </i>
    <i>
      <x v="84"/>
    </i>
    <i>
      <x v="46"/>
    </i>
    <i>
      <x v="83"/>
    </i>
    <i>
      <x v="50"/>
    </i>
    <i>
      <x v="78"/>
    </i>
    <i>
      <x v="94"/>
    </i>
    <i>
      <x v="41"/>
    </i>
    <i>
      <x v="10"/>
    </i>
    <i>
      <x v="47"/>
    </i>
    <i>
      <x v="49"/>
    </i>
    <i>
      <x v="37"/>
    </i>
    <i>
      <x/>
    </i>
    <i>
      <x v="90"/>
    </i>
    <i>
      <x v="51"/>
    </i>
    <i>
      <x v="44"/>
    </i>
    <i>
      <x v="52"/>
    </i>
    <i>
      <x v="76"/>
    </i>
    <i>
      <x v="53"/>
    </i>
    <i>
      <x v="7"/>
    </i>
    <i>
      <x v="54"/>
    </i>
    <i>
      <x v="39"/>
    </i>
    <i>
      <x v="55"/>
    </i>
    <i>
      <x v="88"/>
    </i>
    <i>
      <x v="21"/>
    </i>
    <i>
      <x v="92"/>
    </i>
    <i>
      <x v="22"/>
    </i>
    <i>
      <x v="43"/>
    </i>
    <i>
      <x v="23"/>
    </i>
    <i>
      <x v="19"/>
    </i>
    <i>
      <x v="1"/>
    </i>
    <i>
      <x v="75"/>
    </i>
    <i>
      <x v="60"/>
    </i>
    <i>
      <x v="34"/>
    </i>
    <i>
      <x v="12"/>
    </i>
    <i>
      <x v="79"/>
    </i>
    <i>
      <x v="62"/>
    </i>
    <i>
      <x v="36"/>
    </i>
    <i>
      <x v="63"/>
    </i>
    <i>
      <x v="8"/>
    </i>
    <i>
      <x v="26"/>
    </i>
    <i>
      <x v="9"/>
    </i>
    <i>
      <x v="4"/>
    </i>
    <i>
      <x v="87"/>
    </i>
    <i>
      <x v="28"/>
    </i>
    <i>
      <x v="89"/>
    </i>
    <i>
      <x v="29"/>
    </i>
    <i>
      <x v="91"/>
    </i>
    <i>
      <x v="68"/>
    </i>
    <i>
      <x v="42"/>
    </i>
    <i>
      <x v="30"/>
    </i>
    <i>
      <x v="95"/>
    </i>
    <i>
      <x v="70"/>
    </i>
    <i>
      <x v="97"/>
    </i>
    <i>
      <x v="31"/>
    </i>
    <i>
      <x v="18"/>
    </i>
    <i>
      <x v="72"/>
    </i>
    <i>
      <x v="101"/>
    </i>
    <i>
      <x v="14"/>
    </i>
    <i>
      <x v="33"/>
    </i>
    <i t="grand">
      <x/>
    </i>
  </rowItems>
  <colItems count="1">
    <i/>
  </colItems>
  <dataFields count="1">
    <dataField name="Sum of Tax" fld="22" baseField="0" baseItem="0"/>
  </dataFields>
  <formats count="1">
    <format dxfId="18">
      <pivotArea outline="0" collapsedLevelsAreSubtotals="1" fieldPosition="0"/>
    </format>
  </formats>
  <chartFormats count="1">
    <chartFormat chart="81"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2" rowHeaderCaption="UnPaid">
  <location ref="Z3:AA53" firstHeaderRow="1" firstDataRow="1" firstDataCol="1"/>
  <pivotFields count="24">
    <pivotField showAll="0"/>
    <pivotField showAll="0"/>
    <pivotField showAll="0"/>
    <pivotField showAll="0"/>
    <pivotField showAll="0"/>
    <pivotField showAll="0"/>
    <pivotField showAll="0"/>
    <pivotField showAll="0"/>
    <pivotField numFmtId="14" showAll="0"/>
    <pivotField numFmtId="1" showAll="0"/>
    <pivotField showAll="0"/>
    <pivotField numFmtId="14" showAll="0"/>
    <pivotField showAll="0"/>
    <pivotField showAll="0"/>
    <pivotField numFmtId="14" showAll="0"/>
    <pivotField showAll="0"/>
    <pivotField numFmtId="1" showAll="0"/>
    <pivotField showAll="0"/>
    <pivotField showAll="0"/>
    <pivotField showAll="0" defaultSubtotal="0"/>
    <pivotField axis="axisRow" dataField="1" showAll="0" defaultSubtotal="0">
      <items count="96">
        <item x="0"/>
        <item m="1" x="76"/>
        <item m="1" x="81"/>
        <item m="1" x="69"/>
        <item m="1" x="60"/>
        <item m="1" x="77"/>
        <item m="1" x="79"/>
        <item m="1" x="74"/>
        <item m="1" x="72"/>
        <item m="1" x="51"/>
        <item m="1" x="52"/>
        <item m="1" x="85"/>
        <item m="1" x="82"/>
        <item m="1" x="64"/>
        <item m="1" x="49"/>
        <item m="1" x="75"/>
        <item m="1" x="63"/>
        <item m="1" x="58"/>
        <item m="1" x="71"/>
        <item m="1" x="88"/>
        <item m="1" x="50"/>
        <item m="1" x="92"/>
        <item m="1" x="54"/>
        <item m="1" x="86"/>
        <item m="1" x="70"/>
        <item m="1" x="94"/>
        <item m="1" x="84"/>
        <item m="1" x="89"/>
        <item m="1" x="73"/>
        <item m="1" x="90"/>
        <item m="1" x="57"/>
        <item m="1" x="62"/>
        <item m="1" x="65"/>
        <item m="1" x="87"/>
        <item m="1" x="61"/>
        <item m="1" x="78"/>
        <item m="1" x="55"/>
        <item m="1" x="53"/>
        <item m="1" x="93"/>
        <item m="1" x="80"/>
        <item m="1" x="83"/>
        <item m="1" x="67"/>
        <item m="1" x="91"/>
        <item m="1" x="68"/>
        <item m="1" x="56"/>
        <item m="1" x="95"/>
        <item m="1" x="59"/>
        <item m="1" x="66"/>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numFmtId="44" showAll="0"/>
    <pivotField showAll="0"/>
    <pivotField numFmtId="2" showAll="0"/>
  </pivotFields>
  <rowFields count="1">
    <field x="20"/>
  </rowFields>
  <rowItems count="50">
    <i>
      <x/>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dataFields count="1">
    <dataField name="Count of Unpaid" fld="20"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5" rowHeaderCaption="Paid">
  <location ref="V3:W59" firstHeaderRow="1" firstDataRow="1" firstDataCol="1"/>
  <pivotFields count="24">
    <pivotField showAll="0"/>
    <pivotField showAll="0"/>
    <pivotField showAll="0"/>
    <pivotField showAll="0"/>
    <pivotField showAll="0"/>
    <pivotField showAll="0"/>
    <pivotField showAll="0"/>
    <pivotField showAll="0"/>
    <pivotField numFmtId="14" showAll="0"/>
    <pivotField numFmtId="1" showAll="0"/>
    <pivotField showAll="0"/>
    <pivotField numFmtId="14" showAll="0"/>
    <pivotField showAll="0"/>
    <pivotField showAll="0"/>
    <pivotField numFmtId="14" showAll="0"/>
    <pivotField showAll="0"/>
    <pivotField numFmtId="1" showAll="0"/>
    <pivotField showAll="0"/>
    <pivotField showAll="0"/>
    <pivotField axis="axisRow" dataField="1" showAll="0" defaultSubtotal="0">
      <items count="107">
        <item x="1"/>
        <item m="1" x="103"/>
        <item m="1" x="93"/>
        <item m="1" x="95"/>
        <item m="1" x="65"/>
        <item m="1" x="55"/>
        <item m="1" x="66"/>
        <item m="1" x="97"/>
        <item m="1" x="102"/>
        <item m="1" x="57"/>
        <item m="1" x="85"/>
        <item m="1" x="81"/>
        <item m="1" x="67"/>
        <item m="1" x="104"/>
        <item m="1" x="88"/>
        <item m="1" x="101"/>
        <item m="1" x="105"/>
        <item m="1" x="69"/>
        <item m="1" x="59"/>
        <item m="1" x="87"/>
        <item m="1" x="74"/>
        <item m="1" x="98"/>
        <item m="1" x="68"/>
        <item m="1" x="61"/>
        <item m="1" x="70"/>
        <item m="1" x="100"/>
        <item m="1" x="99"/>
        <item m="1" x="84"/>
        <item m="1" x="96"/>
        <item m="1" x="94"/>
        <item m="1" x="72"/>
        <item m="1" x="92"/>
        <item m="1" x="86"/>
        <item m="1" x="60"/>
        <item m="1" x="73"/>
        <item m="1" x="80"/>
        <item m="1" x="71"/>
        <item m="1" x="78"/>
        <item m="1" x="58"/>
        <item m="1" x="106"/>
        <item m="1" x="63"/>
        <item m="1" x="77"/>
        <item m="1" x="79"/>
        <item m="1" x="90"/>
        <item m="1" x="82"/>
        <item m="1" x="62"/>
        <item m="1" x="89"/>
        <item m="1" x="64"/>
        <item m="1" x="91"/>
        <item m="1" x="75"/>
        <item m="1" x="83"/>
        <item m="1" x="76"/>
        <item m="1" x="56"/>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s>
    </pivotField>
    <pivotField showAll="0" defaultSubtotal="0"/>
    <pivotField numFmtId="44" showAll="0"/>
    <pivotField showAll="0"/>
    <pivotField numFmtId="2" showAll="0"/>
  </pivotFields>
  <rowFields count="1">
    <field x="19"/>
  </rowFields>
  <rowItems count="56">
    <i>
      <x/>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t="grand">
      <x/>
    </i>
  </rowItems>
  <colItems count="1">
    <i/>
  </colItems>
  <dataFields count="1">
    <dataField name="Count of Paid" fld="19"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2" rowHeaderCaption="Country">
  <location ref="K3:L8" firstHeaderRow="1" firstDataRow="1" firstDataCol="1"/>
  <pivotFields count="24">
    <pivotField showAll="0"/>
    <pivotField showAll="0"/>
    <pivotField showAll="0"/>
    <pivotField showAll="0"/>
    <pivotField showAll="0"/>
    <pivotField axis="axisRow" dataField="1"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 showAll="0"/>
    <pivotField showAll="0"/>
    <pivotField numFmtId="14" showAll="0"/>
    <pivotField showAll="0"/>
    <pivotField showAll="0"/>
    <pivotField numFmtId="14" showAll="0"/>
    <pivotField showAll="0"/>
    <pivotField numFmtId="1" showAll="0"/>
    <pivotField showAll="0"/>
    <pivotField showAll="0"/>
    <pivotField showAll="0" defaultSubtotal="0"/>
    <pivotField showAll="0" defaultSubtotal="0"/>
    <pivotField numFmtId="44" showAll="0"/>
    <pivotField showAll="0"/>
    <pivotField numFmtId="2" showAll="0"/>
  </pivotFields>
  <rowFields count="1">
    <field x="5"/>
  </rowFields>
  <rowItems count="5">
    <i>
      <x v="3"/>
    </i>
    <i>
      <x v="1"/>
    </i>
    <i>
      <x/>
    </i>
    <i>
      <x v="2"/>
    </i>
    <i t="grand">
      <x/>
    </i>
  </rowItems>
  <colItems count="1">
    <i/>
  </colItems>
  <dataFields count="1">
    <dataField name="Count of employee" fld="5" subtotal="count" baseField="5" baseItem="0"/>
  </dataFields>
  <chartFormats count="5">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5" count="1" selected="0">
            <x v="3"/>
          </reference>
        </references>
      </pivotArea>
    </chartFormat>
    <chartFormat chart="26" format="12">
      <pivotArea type="data" outline="0" fieldPosition="0">
        <references count="2">
          <reference field="4294967294" count="1" selected="0">
            <x v="0"/>
          </reference>
          <reference field="5" count="1" selected="0">
            <x v="1"/>
          </reference>
        </references>
      </pivotArea>
    </chartFormat>
    <chartFormat chart="26" format="13">
      <pivotArea type="data" outline="0" fieldPosition="0">
        <references count="2">
          <reference field="4294967294" count="1" selected="0">
            <x v="0"/>
          </reference>
          <reference field="5" count="1" selected="0">
            <x v="0"/>
          </reference>
        </references>
      </pivotArea>
    </chartFormat>
    <chartFormat chart="26" format="14">
      <pivotArea type="data" outline="0" fieldPosition="0">
        <references count="2">
          <reference field="4294967294" count="1" selected="0">
            <x v="0"/>
          </reference>
          <reference field="5"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Full Name">
  <location ref="Q3:S106" firstHeaderRow="0" firstDataRow="1" firstDataCol="1"/>
  <pivotFields count="24">
    <pivotField showAll="0"/>
    <pivotField axis="axisRow" showAll="0" sortType="descending">
      <items count="10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x="1"/>
        <item x="72"/>
        <item x="2"/>
        <item x="73"/>
        <item x="3"/>
        <item x="74"/>
        <item x="4"/>
        <item x="75"/>
        <item x="5"/>
        <item x="76"/>
        <item x="6"/>
        <item x="7"/>
        <item x="77"/>
        <item x="8"/>
        <item x="78"/>
        <item x="79"/>
        <item x="9"/>
        <item x="80"/>
        <item x="10"/>
        <item x="11"/>
        <item x="81"/>
        <item x="12"/>
        <item x="13"/>
        <item x="82"/>
        <item x="83"/>
        <item x="14"/>
        <item x="15"/>
        <item x="84"/>
        <item x="16"/>
        <item x="85"/>
        <item x="17"/>
        <item x="86"/>
        <item x="18"/>
        <item x="19"/>
        <item x="87"/>
        <item x="20"/>
        <item x="88"/>
        <item x="89"/>
        <item x="21"/>
        <item x="22"/>
        <item x="90"/>
        <item x="23"/>
        <item x="91"/>
        <item x="24"/>
        <item x="92"/>
        <item x="25"/>
        <item x="26"/>
        <item x="93"/>
        <item x="27"/>
        <item x="94"/>
        <item x="28"/>
        <item x="95"/>
        <item x="29"/>
        <item x="96"/>
        <item x="97"/>
        <item x="30"/>
        <item x="31"/>
        <item x="98"/>
        <item x="32"/>
        <item x="99"/>
        <item x="33"/>
        <item x="34"/>
        <item x="100"/>
        <item x="1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dataField="1" numFmtId="1" showAll="0"/>
    <pivotField showAll="0"/>
    <pivotField numFmtId="14" showAll="0"/>
    <pivotField showAll="0"/>
    <pivotField showAll="0"/>
    <pivotField numFmtId="14" showAll="0"/>
    <pivotField showAll="0"/>
    <pivotField dataField="1" numFmtId="1" showAll="0"/>
    <pivotField showAll="0"/>
    <pivotField showAll="0"/>
    <pivotField showAll="0" defaultSubtotal="0"/>
    <pivotField showAll="0" defaultSubtotal="0"/>
    <pivotField numFmtId="44" showAll="0"/>
    <pivotField showAll="0"/>
    <pivotField numFmtId="2" showAll="0"/>
  </pivotFields>
  <rowFields count="1">
    <field x="1"/>
  </rowFields>
  <rowItems count="103">
    <i>
      <x v="86"/>
    </i>
    <i>
      <x v="66"/>
    </i>
    <i>
      <x v="40"/>
    </i>
    <i>
      <x v="13"/>
    </i>
    <i>
      <x v="12"/>
    </i>
    <i>
      <x v="57"/>
    </i>
    <i>
      <x v="14"/>
    </i>
    <i>
      <x v="26"/>
    </i>
    <i>
      <x v="38"/>
    </i>
    <i>
      <x v="42"/>
    </i>
    <i>
      <x v="15"/>
    </i>
    <i>
      <x v="46"/>
    </i>
    <i>
      <x v="16"/>
    </i>
    <i>
      <x v="64"/>
    </i>
    <i>
      <x v="17"/>
    </i>
    <i>
      <x v="4"/>
    </i>
    <i>
      <x v="84"/>
    </i>
    <i>
      <x v="19"/>
    </i>
    <i>
      <x v="44"/>
    </i>
    <i>
      <x v="73"/>
    </i>
    <i>
      <x v="93"/>
    </i>
    <i>
      <x v="85"/>
    </i>
    <i>
      <x v="23"/>
    </i>
    <i>
      <x v="22"/>
    </i>
    <i>
      <x v="24"/>
    </i>
    <i>
      <x v="81"/>
    </i>
    <i>
      <x v="25"/>
    </i>
    <i>
      <x v="89"/>
    </i>
    <i>
      <x v="11"/>
    </i>
    <i>
      <x v="97"/>
    </i>
    <i>
      <x v="31"/>
    </i>
    <i>
      <x v="67"/>
    </i>
    <i>
      <x v="33"/>
    </i>
    <i>
      <x v="77"/>
    </i>
    <i>
      <x v="34"/>
    </i>
    <i>
      <x v="83"/>
    </i>
    <i>
      <x v="35"/>
    </i>
    <i>
      <x v="87"/>
    </i>
    <i>
      <x v="36"/>
    </i>
    <i>
      <x v="91"/>
    </i>
    <i>
      <x v="37"/>
    </i>
    <i>
      <x v="95"/>
    </i>
    <i>
      <x v="1"/>
    </i>
    <i>
      <x v="99"/>
    </i>
    <i>
      <x v="39"/>
    </i>
    <i>
      <x v="10"/>
    </i>
    <i>
      <x v="5"/>
    </i>
    <i>
      <x v="69"/>
    </i>
    <i>
      <x v="41"/>
    </i>
    <i>
      <x v="76"/>
    </i>
    <i>
      <x v="6"/>
    </i>
    <i>
      <x v="79"/>
    </i>
    <i>
      <x v="43"/>
    </i>
    <i>
      <x v="82"/>
    </i>
    <i>
      <x v="101"/>
    </i>
    <i>
      <x v="20"/>
    </i>
    <i>
      <x v="45"/>
    </i>
    <i>
      <x v="21"/>
    </i>
    <i>
      <x v="7"/>
    </i>
    <i>
      <x v="88"/>
    </i>
    <i>
      <x v="47"/>
    </i>
    <i>
      <x v="90"/>
    </i>
    <i>
      <x v="48"/>
    </i>
    <i>
      <x v="92"/>
    </i>
    <i>
      <x v="49"/>
    </i>
    <i>
      <x v="94"/>
    </i>
    <i>
      <x/>
    </i>
    <i>
      <x v="96"/>
    </i>
    <i>
      <x v="51"/>
    </i>
    <i>
      <x v="98"/>
    </i>
    <i>
      <x v="54"/>
    </i>
    <i>
      <x v="100"/>
    </i>
    <i>
      <x v="8"/>
    </i>
    <i>
      <x v="9"/>
    </i>
    <i>
      <x v="50"/>
    </i>
    <i>
      <x v="32"/>
    </i>
    <i>
      <x v="62"/>
    </i>
    <i>
      <x v="74"/>
    </i>
    <i>
      <x v="27"/>
    </i>
    <i>
      <x v="65"/>
    </i>
    <i>
      <x v="52"/>
    </i>
    <i>
      <x v="72"/>
    </i>
    <i>
      <x v="78"/>
    </i>
    <i>
      <x v="75"/>
    </i>
    <i>
      <x v="53"/>
    </i>
    <i>
      <x v="30"/>
    </i>
    <i>
      <x v="80"/>
    </i>
    <i>
      <x v="18"/>
    </i>
    <i>
      <x v="28"/>
    </i>
    <i>
      <x v="2"/>
    </i>
    <i>
      <x v="55"/>
    </i>
    <i>
      <x v="3"/>
    </i>
    <i>
      <x v="29"/>
    </i>
    <i>
      <x v="58"/>
    </i>
    <i>
      <x v="61"/>
    </i>
    <i>
      <x v="68"/>
    </i>
    <i>
      <x v="59"/>
    </i>
    <i>
      <x v="56"/>
    </i>
    <i>
      <x v="60"/>
    </i>
    <i>
      <x v="63"/>
    </i>
    <i>
      <x v="70"/>
    </i>
    <i>
      <x v="71"/>
    </i>
    <i t="grand">
      <x/>
    </i>
  </rowItems>
  <colFields count="1">
    <field x="-2"/>
  </colFields>
  <colItems count="2">
    <i>
      <x/>
    </i>
    <i i="1">
      <x v="1"/>
    </i>
  </colItems>
  <dataFields count="2">
    <dataField name="sacked" fld="16" baseField="1" baseItem="0"/>
    <dataField name="Sum of Age" fld="9"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0" rowHeaderCaption="Age Range">
  <location ref="A3:B9" firstHeaderRow="1" firstDataRow="1" firstDataCol="1"/>
  <pivotFields count="24">
    <pivotField dataField="1" showAll="0"/>
    <pivotField showAll="0"/>
    <pivotField showAll="0"/>
    <pivotField showAll="0"/>
    <pivotField showAll="0"/>
    <pivotField showAll="0"/>
    <pivotField showAll="0"/>
    <pivotField showAll="0"/>
    <pivotField numFmtId="14" showAll="0"/>
    <pivotField numFmtId="1" showAll="0"/>
    <pivotField axis="axisRow" showAll="0">
      <items count="6">
        <item x="4"/>
        <item x="1"/>
        <item x="0"/>
        <item x="3"/>
        <item x="2"/>
        <item t="default"/>
      </items>
    </pivotField>
    <pivotField numFmtId="14" showAll="0"/>
    <pivotField showAll="0"/>
    <pivotField showAll="0"/>
    <pivotField numFmtId="14" showAll="0"/>
    <pivotField showAll="0"/>
    <pivotField numFmtId="1" showAll="0"/>
    <pivotField showAll="0"/>
    <pivotField showAll="0"/>
    <pivotField showAll="0" defaultSubtotal="0"/>
    <pivotField showAll="0" defaultSubtotal="0"/>
    <pivotField numFmtId="44" showAll="0"/>
    <pivotField showAll="0"/>
    <pivotField numFmtId="2" showAll="0"/>
  </pivotFields>
  <rowFields count="1">
    <field x="10"/>
  </rowFields>
  <rowItems count="6">
    <i>
      <x/>
    </i>
    <i>
      <x v="1"/>
    </i>
    <i>
      <x v="2"/>
    </i>
    <i>
      <x v="3"/>
    </i>
    <i>
      <x v="4"/>
    </i>
    <i t="grand">
      <x/>
    </i>
  </rowItems>
  <colItems count="1">
    <i/>
  </colItems>
  <dataFields count="1">
    <dataField name="Employee" fld="0" subtotal="count" baseField="1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rowHeaderCaption="Country">
  <location ref="K12:K120" firstHeaderRow="1" firstDataRow="1" firstDataCol="1"/>
  <pivotFields count="24">
    <pivotField showAll="0"/>
    <pivotField axis="axisRow" showAll="0">
      <items count="10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x="1"/>
        <item x="72"/>
        <item x="2"/>
        <item x="73"/>
        <item x="3"/>
        <item x="74"/>
        <item x="4"/>
        <item x="75"/>
        <item x="5"/>
        <item x="76"/>
        <item x="6"/>
        <item x="7"/>
        <item x="77"/>
        <item x="8"/>
        <item x="78"/>
        <item x="79"/>
        <item x="9"/>
        <item x="80"/>
        <item x="10"/>
        <item x="11"/>
        <item x="81"/>
        <item x="12"/>
        <item x="13"/>
        <item x="82"/>
        <item x="83"/>
        <item x="14"/>
        <item x="15"/>
        <item x="84"/>
        <item x="16"/>
        <item x="85"/>
        <item x="17"/>
        <item x="86"/>
        <item x="18"/>
        <item x="19"/>
        <item x="87"/>
        <item x="20"/>
        <item x="88"/>
        <item x="89"/>
        <item x="21"/>
        <item x="22"/>
        <item x="90"/>
        <item x="23"/>
        <item x="91"/>
        <item x="24"/>
        <item x="92"/>
        <item x="25"/>
        <item x="26"/>
        <item x="93"/>
        <item x="27"/>
        <item x="94"/>
        <item x="28"/>
        <item x="95"/>
        <item x="29"/>
        <item x="96"/>
        <item x="97"/>
        <item x="30"/>
        <item x="31"/>
        <item x="98"/>
        <item x="32"/>
        <item x="99"/>
        <item x="33"/>
        <item x="34"/>
        <item x="100"/>
        <item x="101"/>
        <item t="default"/>
      </items>
    </pivotField>
    <pivotField showAll="0"/>
    <pivotField showAll="0"/>
    <pivotField showAll="0"/>
    <pivotField showAll="0"/>
    <pivotField showAll="0"/>
    <pivotField showAll="0"/>
    <pivotField numFmtId="14" showAll="0"/>
    <pivotField numFmtId="1" showAll="0"/>
    <pivotField axis="axisRow" showAll="0">
      <items count="6">
        <item x="4"/>
        <item x="1"/>
        <item x="0"/>
        <item x="3"/>
        <item x="2"/>
        <item t="default"/>
      </items>
    </pivotField>
    <pivotField numFmtId="14" showAll="0"/>
    <pivotField showAll="0"/>
    <pivotField showAll="0"/>
    <pivotField numFmtId="14" showAll="0"/>
    <pivotField showAll="0"/>
    <pivotField numFmtId="1" showAll="0"/>
    <pivotField showAll="0"/>
    <pivotField showAll="0"/>
    <pivotField showAll="0" defaultSubtotal="0"/>
    <pivotField showAll="0" defaultSubtotal="0"/>
    <pivotField numFmtId="44" showAll="0"/>
    <pivotField showAll="0"/>
    <pivotField numFmtId="2" showAll="0"/>
  </pivotFields>
  <rowFields count="2">
    <field x="10"/>
    <field x="1"/>
  </rowFields>
  <rowItems count="108">
    <i>
      <x/>
    </i>
    <i r="1">
      <x v="1"/>
    </i>
    <i r="1">
      <x v="7"/>
    </i>
    <i r="1">
      <x v="8"/>
    </i>
    <i r="1">
      <x v="9"/>
    </i>
    <i r="1">
      <x v="11"/>
    </i>
    <i r="1">
      <x v="18"/>
    </i>
    <i r="1">
      <x v="20"/>
    </i>
    <i r="1">
      <x v="22"/>
    </i>
    <i r="1">
      <x v="25"/>
    </i>
    <i r="1">
      <x v="33"/>
    </i>
    <i r="1">
      <x v="34"/>
    </i>
    <i r="1">
      <x v="35"/>
    </i>
    <i r="1">
      <x v="41"/>
    </i>
    <i r="1">
      <x v="45"/>
    </i>
    <i r="1">
      <x v="48"/>
    </i>
    <i r="1">
      <x v="49"/>
    </i>
    <i r="1">
      <x v="50"/>
    </i>
    <i r="1">
      <x v="59"/>
    </i>
    <i r="1">
      <x v="66"/>
    </i>
    <i r="1">
      <x v="73"/>
    </i>
    <i r="1">
      <x v="74"/>
    </i>
    <i r="1">
      <x v="75"/>
    </i>
    <i r="1">
      <x v="76"/>
    </i>
    <i r="1">
      <x v="78"/>
    </i>
    <i r="1">
      <x v="80"/>
    </i>
    <i r="1">
      <x v="86"/>
    </i>
    <i r="1">
      <x v="87"/>
    </i>
    <i r="1">
      <x v="89"/>
    </i>
    <i r="1">
      <x v="90"/>
    </i>
    <i r="1">
      <x v="91"/>
    </i>
    <i r="1">
      <x v="93"/>
    </i>
    <i r="1">
      <x v="98"/>
    </i>
    <i>
      <x v="1"/>
    </i>
    <i r="1">
      <x/>
    </i>
    <i r="1">
      <x v="6"/>
    </i>
    <i r="1">
      <x v="10"/>
    </i>
    <i r="1">
      <x v="23"/>
    </i>
    <i r="1">
      <x v="24"/>
    </i>
    <i r="1">
      <x v="31"/>
    </i>
    <i r="1">
      <x v="36"/>
    </i>
    <i r="1">
      <x v="39"/>
    </i>
    <i r="1">
      <x v="42"/>
    </i>
    <i r="1">
      <x v="43"/>
    </i>
    <i r="1">
      <x v="47"/>
    </i>
    <i r="1">
      <x v="51"/>
    </i>
    <i r="1">
      <x v="54"/>
    </i>
    <i r="1">
      <x v="56"/>
    </i>
    <i r="1">
      <x v="60"/>
    </i>
    <i r="1">
      <x v="64"/>
    </i>
    <i r="1">
      <x v="68"/>
    </i>
    <i r="1">
      <x v="69"/>
    </i>
    <i r="1">
      <x v="70"/>
    </i>
    <i r="1">
      <x v="71"/>
    </i>
    <i r="1">
      <x v="79"/>
    </i>
    <i r="1">
      <x v="81"/>
    </i>
    <i r="1">
      <x v="82"/>
    </i>
    <i r="1">
      <x v="83"/>
    </i>
    <i r="1">
      <x v="88"/>
    </i>
    <i r="1">
      <x v="92"/>
    </i>
    <i r="1">
      <x v="94"/>
    </i>
    <i r="1">
      <x v="95"/>
    </i>
    <i r="1">
      <x v="96"/>
    </i>
    <i r="1">
      <x v="99"/>
    </i>
    <i r="1">
      <x v="101"/>
    </i>
    <i>
      <x v="2"/>
    </i>
    <i r="1">
      <x v="2"/>
    </i>
    <i r="1">
      <x v="3"/>
    </i>
    <i r="1">
      <x v="5"/>
    </i>
    <i r="1">
      <x v="21"/>
    </i>
    <i r="1">
      <x v="28"/>
    </i>
    <i r="1">
      <x v="29"/>
    </i>
    <i r="1">
      <x v="30"/>
    </i>
    <i r="1">
      <x v="32"/>
    </i>
    <i r="1">
      <x v="37"/>
    </i>
    <i r="1">
      <x v="38"/>
    </i>
    <i r="1">
      <x v="40"/>
    </i>
    <i r="1">
      <x v="52"/>
    </i>
    <i r="1">
      <x v="53"/>
    </i>
    <i r="1">
      <x v="55"/>
    </i>
    <i r="1">
      <x v="58"/>
    </i>
    <i r="1">
      <x v="61"/>
    </i>
    <i r="1">
      <x v="65"/>
    </i>
    <i r="1">
      <x v="67"/>
    </i>
    <i r="1">
      <x v="72"/>
    </i>
    <i r="1">
      <x v="85"/>
    </i>
    <i r="1">
      <x v="97"/>
    </i>
    <i r="1">
      <x v="100"/>
    </i>
    <i>
      <x v="3"/>
    </i>
    <i r="1">
      <x v="4"/>
    </i>
    <i r="1">
      <x v="12"/>
    </i>
    <i r="1">
      <x v="13"/>
    </i>
    <i r="1">
      <x v="14"/>
    </i>
    <i r="1">
      <x v="15"/>
    </i>
    <i r="1">
      <x v="16"/>
    </i>
    <i r="1">
      <x v="17"/>
    </i>
    <i r="1">
      <x v="19"/>
    </i>
    <i r="1">
      <x v="26"/>
    </i>
    <i r="1">
      <x v="27"/>
    </i>
    <i r="1">
      <x v="46"/>
    </i>
    <i r="1">
      <x v="57"/>
    </i>
    <i r="1">
      <x v="63"/>
    </i>
    <i r="1">
      <x v="77"/>
    </i>
    <i r="1">
      <x v="84"/>
    </i>
    <i>
      <x v="4"/>
    </i>
    <i r="1">
      <x v="44"/>
    </i>
    <i r="1">
      <x v="62"/>
    </i>
    <i t="grand">
      <x/>
    </i>
  </rowItems>
  <colItems count="1">
    <i/>
  </colItem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Age Range">
  <location ref="D3:F108" firstHeaderRow="0" firstDataRow="1" firstDataCol="1"/>
  <pivotFields count="24">
    <pivotField showAll="0"/>
    <pivotField axis="axisRow" showAll="0">
      <items count="10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0"/>
        <item x="1"/>
        <item x="72"/>
        <item x="2"/>
        <item x="73"/>
        <item x="3"/>
        <item x="74"/>
        <item x="4"/>
        <item x="75"/>
        <item x="5"/>
        <item x="76"/>
        <item x="6"/>
        <item x="7"/>
        <item x="77"/>
        <item x="8"/>
        <item x="78"/>
        <item x="79"/>
        <item x="9"/>
        <item x="80"/>
        <item x="10"/>
        <item x="11"/>
        <item x="81"/>
        <item x="12"/>
        <item x="13"/>
        <item x="82"/>
        <item x="83"/>
        <item x="14"/>
        <item x="15"/>
        <item x="84"/>
        <item x="16"/>
        <item x="85"/>
        <item x="17"/>
        <item x="86"/>
        <item x="18"/>
        <item x="19"/>
        <item x="87"/>
        <item x="20"/>
        <item x="88"/>
        <item x="89"/>
        <item x="21"/>
        <item x="22"/>
        <item x="90"/>
        <item x="23"/>
        <item x="91"/>
        <item x="24"/>
        <item x="92"/>
        <item x="25"/>
        <item x="26"/>
        <item x="93"/>
        <item x="27"/>
        <item x="94"/>
        <item x="28"/>
        <item x="95"/>
        <item x="29"/>
        <item x="96"/>
        <item x="97"/>
        <item x="30"/>
        <item x="31"/>
        <item x="98"/>
        <item x="32"/>
        <item x="99"/>
        <item x="33"/>
        <item x="34"/>
        <item x="100"/>
        <item x="101"/>
        <item t="default"/>
      </items>
    </pivotField>
    <pivotField showAll="0"/>
    <pivotField showAll="0"/>
    <pivotField showAll="0"/>
    <pivotField showAll="0"/>
    <pivotField showAll="0"/>
    <pivotField showAll="0"/>
    <pivotField numFmtId="14" showAll="0"/>
    <pivotField dataField="1" numFmtId="1" showAll="0"/>
    <pivotField showAll="0"/>
    <pivotField numFmtId="14" showAll="0"/>
    <pivotField showAll="0"/>
    <pivotField showAll="0"/>
    <pivotField numFmtId="14" showAll="0"/>
    <pivotField showAll="0"/>
    <pivotField dataField="1" numFmtId="1" showAll="0"/>
    <pivotField showAll="0"/>
    <pivotField axis="axisRow" showAll="0">
      <items count="3">
        <item x="0"/>
        <item x="1"/>
        <item t="default"/>
      </items>
    </pivotField>
    <pivotField showAll="0" defaultSubtotal="0"/>
    <pivotField showAll="0" defaultSubtotal="0"/>
    <pivotField numFmtId="44" showAll="0"/>
    <pivotField showAll="0"/>
    <pivotField numFmtId="2" showAll="0"/>
  </pivotFields>
  <rowFields count="2">
    <field x="18"/>
    <field x="1"/>
  </rowFields>
  <rowItems count="105">
    <i>
      <x/>
    </i>
    <i r="1">
      <x/>
    </i>
    <i r="1">
      <x v="1"/>
    </i>
    <i r="1">
      <x v="2"/>
    </i>
    <i r="1">
      <x v="8"/>
    </i>
    <i r="1">
      <x v="10"/>
    </i>
    <i r="1">
      <x v="12"/>
    </i>
    <i r="1">
      <x v="13"/>
    </i>
    <i r="1">
      <x v="16"/>
    </i>
    <i r="1">
      <x v="18"/>
    </i>
    <i r="1">
      <x v="21"/>
    </i>
    <i r="1">
      <x v="22"/>
    </i>
    <i r="1">
      <x v="23"/>
    </i>
    <i r="1">
      <x v="24"/>
    </i>
    <i r="1">
      <x v="26"/>
    </i>
    <i r="1">
      <x v="27"/>
    </i>
    <i r="1">
      <x v="30"/>
    </i>
    <i r="1">
      <x v="32"/>
    </i>
    <i r="1">
      <x v="34"/>
    </i>
    <i r="1">
      <x v="35"/>
    </i>
    <i r="1">
      <x v="36"/>
    </i>
    <i r="1">
      <x v="37"/>
    </i>
    <i r="1">
      <x v="40"/>
    </i>
    <i r="1">
      <x v="42"/>
    </i>
    <i r="1">
      <x v="45"/>
    </i>
    <i r="1">
      <x v="47"/>
    </i>
    <i r="1">
      <x v="48"/>
    </i>
    <i r="1">
      <x v="50"/>
    </i>
    <i r="1">
      <x v="51"/>
    </i>
    <i r="1">
      <x v="53"/>
    </i>
    <i r="1">
      <x v="57"/>
    </i>
    <i r="1">
      <x v="58"/>
    </i>
    <i r="1">
      <x v="59"/>
    </i>
    <i r="1">
      <x v="62"/>
    </i>
    <i r="1">
      <x v="64"/>
    </i>
    <i r="1">
      <x v="65"/>
    </i>
    <i r="1">
      <x v="69"/>
    </i>
    <i r="1">
      <x v="71"/>
    </i>
    <i r="1">
      <x v="73"/>
    </i>
    <i r="1">
      <x v="74"/>
    </i>
    <i r="1">
      <x v="76"/>
    </i>
    <i r="1">
      <x v="77"/>
    </i>
    <i r="1">
      <x v="78"/>
    </i>
    <i r="1">
      <x v="82"/>
    </i>
    <i r="1">
      <x v="84"/>
    </i>
    <i r="1">
      <x v="85"/>
    </i>
    <i r="1">
      <x v="87"/>
    </i>
    <i r="1">
      <x v="90"/>
    </i>
    <i r="1">
      <x v="91"/>
    </i>
    <i r="1">
      <x v="92"/>
    </i>
    <i r="1">
      <x v="93"/>
    </i>
    <i r="1">
      <x v="94"/>
    </i>
    <i r="1">
      <x v="95"/>
    </i>
    <i r="1">
      <x v="97"/>
    </i>
    <i r="1">
      <x v="100"/>
    </i>
    <i>
      <x v="1"/>
    </i>
    <i r="1">
      <x v="3"/>
    </i>
    <i r="1">
      <x v="4"/>
    </i>
    <i r="1">
      <x v="5"/>
    </i>
    <i r="1">
      <x v="6"/>
    </i>
    <i r="1">
      <x v="7"/>
    </i>
    <i r="1">
      <x v="9"/>
    </i>
    <i r="1">
      <x v="11"/>
    </i>
    <i r="1">
      <x v="14"/>
    </i>
    <i r="1">
      <x v="15"/>
    </i>
    <i r="1">
      <x v="17"/>
    </i>
    <i r="1">
      <x v="19"/>
    </i>
    <i r="1">
      <x v="20"/>
    </i>
    <i r="1">
      <x v="25"/>
    </i>
    <i r="1">
      <x v="28"/>
    </i>
    <i r="1">
      <x v="29"/>
    </i>
    <i r="1">
      <x v="31"/>
    </i>
    <i r="1">
      <x v="33"/>
    </i>
    <i r="1">
      <x v="38"/>
    </i>
    <i r="1">
      <x v="39"/>
    </i>
    <i r="1">
      <x v="41"/>
    </i>
    <i r="1">
      <x v="43"/>
    </i>
    <i r="1">
      <x v="44"/>
    </i>
    <i r="1">
      <x v="46"/>
    </i>
    <i r="1">
      <x v="49"/>
    </i>
    <i r="1">
      <x v="52"/>
    </i>
    <i r="1">
      <x v="54"/>
    </i>
    <i r="1">
      <x v="55"/>
    </i>
    <i r="1">
      <x v="56"/>
    </i>
    <i r="1">
      <x v="60"/>
    </i>
    <i r="1">
      <x v="61"/>
    </i>
    <i r="1">
      <x v="63"/>
    </i>
    <i r="1">
      <x v="66"/>
    </i>
    <i r="1">
      <x v="67"/>
    </i>
    <i r="1">
      <x v="68"/>
    </i>
    <i r="1">
      <x v="70"/>
    </i>
    <i r="1">
      <x v="72"/>
    </i>
    <i r="1">
      <x v="75"/>
    </i>
    <i r="1">
      <x v="79"/>
    </i>
    <i r="1">
      <x v="80"/>
    </i>
    <i r="1">
      <x v="81"/>
    </i>
    <i r="1">
      <x v="83"/>
    </i>
    <i r="1">
      <x v="86"/>
    </i>
    <i r="1">
      <x v="88"/>
    </i>
    <i r="1">
      <x v="89"/>
    </i>
    <i r="1">
      <x v="96"/>
    </i>
    <i r="1">
      <x v="98"/>
    </i>
    <i r="1">
      <x v="99"/>
    </i>
    <i r="1">
      <x v="101"/>
    </i>
    <i t="grand">
      <x/>
    </i>
  </rowItems>
  <colFields count="1">
    <field x="-2"/>
  </colFields>
  <colItems count="2">
    <i>
      <x/>
    </i>
    <i i="1">
      <x v="1"/>
    </i>
  </colItems>
  <dataFields count="2">
    <dataField name=" Age" fld="9" baseField="18" baseItem="0"/>
    <dataField name="Sacked" fld="16" baseField="18"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5" rowHeaderCaption="Payment Status">
  <location ref="AD3:AE6" firstHeaderRow="1" firstDataRow="1" firstDataCol="1"/>
  <pivotFields count="24">
    <pivotField showAll="0"/>
    <pivotField showAll="0"/>
    <pivotField showAll="0"/>
    <pivotField showAll="0"/>
    <pivotField showAll="0"/>
    <pivotField showAll="0"/>
    <pivotField showAll="0"/>
    <pivotField showAll="0"/>
    <pivotField numFmtId="14" showAll="0"/>
    <pivotField numFmtId="1" showAll="0"/>
    <pivotField showAll="0"/>
    <pivotField numFmtId="14" showAll="0"/>
    <pivotField showAll="0"/>
    <pivotField showAll="0"/>
    <pivotField numFmtId="14" showAll="0"/>
    <pivotField showAll="0"/>
    <pivotField numFmtId="1" showAll="0"/>
    <pivotField showAll="0"/>
    <pivotField axis="axisRow" showAll="0">
      <items count="3">
        <item x="0"/>
        <item x="1"/>
        <item t="default"/>
      </items>
    </pivotField>
    <pivotField showAll="0" defaultSubtotal="0"/>
    <pivotField showAll="0" defaultSubtotal="0"/>
    <pivotField dataField="1" numFmtId="44" showAll="0"/>
    <pivotField showAll="0"/>
    <pivotField numFmtId="2" showAll="0"/>
  </pivotFields>
  <rowFields count="1">
    <field x="18"/>
  </rowFields>
  <rowItems count="3">
    <i>
      <x/>
    </i>
    <i>
      <x v="1"/>
    </i>
    <i t="grand">
      <x/>
    </i>
  </rowItems>
  <colItems count="1">
    <i/>
  </colItems>
  <dataFields count="1">
    <dataField name="Sum of Salary" fld="21" baseField="0" baseItem="0" numFmtId="44"/>
  </dataFields>
  <formats count="1">
    <format dxfId="37">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1" rowHeaderCaption="Hire Months">
  <location ref="N12:O20" firstHeaderRow="1" firstDataRow="1" firstDataCol="1"/>
  <pivotFields count="24">
    <pivotField showAll="0"/>
    <pivotField dataField="1" showAll="0"/>
    <pivotField showAll="0"/>
    <pivotField showAll="0"/>
    <pivotField showAll="0"/>
    <pivotField showAll="0"/>
    <pivotField showAll="0"/>
    <pivotField showAll="0"/>
    <pivotField numFmtId="14" showAll="0"/>
    <pivotField numFmtId="1" showAll="0"/>
    <pivotField showAll="0"/>
    <pivotField numFmtId="14" showAll="0"/>
    <pivotField showAll="0"/>
    <pivotField showAll="0"/>
    <pivotField numFmtId="14" showAll="0"/>
    <pivotField axis="axisRow" showAll="0">
      <items count="8">
        <item x="0"/>
        <item x="3"/>
        <item x="5"/>
        <item x="4"/>
        <item x="6"/>
        <item x="1"/>
        <item x="2"/>
        <item t="default"/>
      </items>
    </pivotField>
    <pivotField numFmtId="1" showAll="0"/>
    <pivotField showAll="0"/>
    <pivotField showAll="0"/>
    <pivotField showAll="0" defaultSubtotal="0"/>
    <pivotField showAll="0" defaultSubtotal="0"/>
    <pivotField numFmtId="44" showAll="0"/>
    <pivotField showAll="0"/>
    <pivotField numFmtId="2" showAll="0"/>
  </pivotFields>
  <rowFields count="1">
    <field x="15"/>
  </rowFields>
  <rowItems count="8">
    <i>
      <x/>
    </i>
    <i>
      <x v="1"/>
    </i>
    <i>
      <x v="2"/>
    </i>
    <i>
      <x v="3"/>
    </i>
    <i>
      <x v="4"/>
    </i>
    <i>
      <x v="5"/>
    </i>
    <i>
      <x v="6"/>
    </i>
    <i t="grand">
      <x/>
    </i>
  </rowItems>
  <colItems count="1">
    <i/>
  </colItems>
  <dataFields count="1">
    <dataField name="Count of Employee" fld="1" subtotal="count" baseField="15" baseItem="0"/>
  </dataFields>
  <chartFormats count="3">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5"/>
  <sheetViews>
    <sheetView showGridLines="0" workbookViewId="0">
      <selection activeCell="C2" sqref="C2"/>
    </sheetView>
  </sheetViews>
  <sheetFormatPr defaultColWidth="11.125" defaultRowHeight="20.25" customHeight="1"/>
  <cols>
    <col min="1" max="1" width="145.375" customWidth="1"/>
    <col min="2" max="2" width="3.625" customWidth="1"/>
  </cols>
  <sheetData>
    <row r="1" spans="1:1" ht="15" customHeight="1">
      <c r="A1" s="4" t="s">
        <v>196</v>
      </c>
    </row>
    <row r="2" spans="1:1" ht="90">
      <c r="A2" s="3" t="s">
        <v>195</v>
      </c>
    </row>
    <row r="3" spans="1:1" ht="21.75">
      <c r="A3" s="1" t="s">
        <v>194</v>
      </c>
    </row>
    <row r="4" spans="1:1" ht="264" customHeight="1">
      <c r="A4" s="2" t="s">
        <v>193</v>
      </c>
    </row>
    <row r="5" spans="1:1" ht="20.25" customHeight="1">
      <c r="A5" s="1"/>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E120"/>
  <sheetViews>
    <sheetView tabSelected="1" topLeftCell="Y5" workbookViewId="0">
      <selection activeCell="AD10" sqref="AD10"/>
    </sheetView>
  </sheetViews>
  <sheetFormatPr defaultRowHeight="14.25"/>
  <cols>
    <col min="1" max="1" width="12.5" customWidth="1"/>
    <col min="2" max="2" width="9.5" customWidth="1"/>
    <col min="4" max="4" width="23.125" customWidth="1"/>
    <col min="5" max="5" width="4.875" customWidth="1"/>
    <col min="6" max="6" width="7.375" customWidth="1"/>
    <col min="7" max="7" width="6" customWidth="1"/>
    <col min="8" max="9" width="7.125" customWidth="1"/>
    <col min="11" max="11" width="23.125" customWidth="1"/>
    <col min="12" max="12" width="17.75" customWidth="1"/>
    <col min="13" max="13" width="5.5" customWidth="1"/>
    <col min="14" max="14" width="13.75" customWidth="1"/>
    <col min="15" max="15" width="17.875" customWidth="1"/>
    <col min="16" max="16" width="21.25" customWidth="1"/>
    <col min="17" max="17" width="19.25" customWidth="1"/>
    <col min="18" max="18" width="7.125" customWidth="1"/>
    <col min="19" max="19" width="10.875" bestFit="1" customWidth="1"/>
    <col min="21" max="21" width="16.625" customWidth="1"/>
    <col min="22" max="22" width="19.25" customWidth="1"/>
    <col min="23" max="25" width="13" customWidth="1"/>
    <col min="26" max="26" width="15.625" customWidth="1"/>
    <col min="27" max="27" width="15.375" customWidth="1"/>
    <col min="28" max="28" width="15.375" bestFit="1" customWidth="1"/>
    <col min="29" max="29" width="16.625" customWidth="1"/>
    <col min="30" max="30" width="10.75" customWidth="1"/>
    <col min="31" max="31" width="17.375" customWidth="1"/>
    <col min="32" max="32" width="17.375" bestFit="1" customWidth="1"/>
    <col min="33" max="33" width="11.375" bestFit="1" customWidth="1"/>
  </cols>
  <sheetData>
    <row r="3" spans="1:31">
      <c r="A3" s="11" t="s">
        <v>383</v>
      </c>
      <c r="B3" t="s">
        <v>497</v>
      </c>
      <c r="D3" s="11" t="s">
        <v>383</v>
      </c>
      <c r="E3" t="s">
        <v>504</v>
      </c>
      <c r="F3" t="s">
        <v>505</v>
      </c>
      <c r="K3" s="11" t="s">
        <v>1</v>
      </c>
      <c r="L3" t="s">
        <v>499</v>
      </c>
      <c r="Q3" s="11" t="s">
        <v>378</v>
      </c>
      <c r="R3" t="s">
        <v>498</v>
      </c>
      <c r="S3" t="s">
        <v>503</v>
      </c>
      <c r="V3" s="11" t="s">
        <v>500</v>
      </c>
      <c r="W3" t="s">
        <v>515</v>
      </c>
      <c r="Z3" s="11" t="s">
        <v>517</v>
      </c>
      <c r="AA3" t="s">
        <v>516</v>
      </c>
      <c r="AD3" s="11" t="s">
        <v>502</v>
      </c>
      <c r="AE3" t="s">
        <v>518</v>
      </c>
    </row>
    <row r="4" spans="1:31">
      <c r="A4" s="12" t="s">
        <v>388</v>
      </c>
      <c r="B4" s="10">
        <v>32</v>
      </c>
      <c r="D4" s="12" t="s">
        <v>500</v>
      </c>
      <c r="E4" s="10">
        <v>2646</v>
      </c>
      <c r="F4" s="10">
        <v>859</v>
      </c>
      <c r="H4" s="10"/>
      <c r="I4" s="10"/>
      <c r="K4" s="12" t="s">
        <v>9</v>
      </c>
      <c r="L4" s="10">
        <v>74</v>
      </c>
      <c r="Q4" s="12" t="s">
        <v>481</v>
      </c>
      <c r="R4" s="10">
        <v>19</v>
      </c>
      <c r="S4" s="10">
        <v>37</v>
      </c>
      <c r="V4" s="12" t="s">
        <v>514</v>
      </c>
      <c r="W4" s="10">
        <v>48</v>
      </c>
      <c r="Z4" s="12" t="s">
        <v>514</v>
      </c>
      <c r="AA4" s="10">
        <v>54</v>
      </c>
      <c r="AD4" s="12" t="s">
        <v>500</v>
      </c>
      <c r="AE4" s="13">
        <v>11471</v>
      </c>
    </row>
    <row r="5" spans="1:31">
      <c r="A5" s="12" t="s">
        <v>389</v>
      </c>
      <c r="B5" s="10">
        <v>31</v>
      </c>
      <c r="D5" s="14" t="s">
        <v>395</v>
      </c>
      <c r="E5" s="10">
        <v>41</v>
      </c>
      <c r="F5" s="10">
        <v>16</v>
      </c>
      <c r="H5" s="10"/>
      <c r="I5" s="10"/>
      <c r="K5" s="12" t="s">
        <v>5</v>
      </c>
      <c r="L5" s="10">
        <v>19</v>
      </c>
      <c r="Q5" s="12" t="s">
        <v>461</v>
      </c>
      <c r="R5" s="10">
        <v>18</v>
      </c>
      <c r="S5" s="10">
        <v>38</v>
      </c>
      <c r="V5" s="12" t="s">
        <v>432</v>
      </c>
      <c r="W5" s="10">
        <v>1</v>
      </c>
      <c r="Z5" s="12" t="s">
        <v>433</v>
      </c>
      <c r="AA5" s="10">
        <v>1</v>
      </c>
      <c r="AD5" s="12" t="s">
        <v>501</v>
      </c>
      <c r="AE5" s="13">
        <v>10430</v>
      </c>
    </row>
    <row r="6" spans="1:31">
      <c r="A6" s="12" t="s">
        <v>390</v>
      </c>
      <c r="B6" s="10">
        <v>22</v>
      </c>
      <c r="D6" s="14" t="s">
        <v>396</v>
      </c>
      <c r="E6" s="10">
        <v>39</v>
      </c>
      <c r="F6" s="10">
        <v>16</v>
      </c>
      <c r="H6" s="10"/>
      <c r="I6" s="10"/>
      <c r="K6" s="12" t="s">
        <v>18</v>
      </c>
      <c r="L6" s="10">
        <v>7</v>
      </c>
      <c r="Q6" s="12" t="s">
        <v>435</v>
      </c>
      <c r="R6" s="10">
        <v>18</v>
      </c>
      <c r="S6" s="10">
        <v>51</v>
      </c>
      <c r="V6" s="12" t="s">
        <v>435</v>
      </c>
      <c r="W6" s="10">
        <v>1</v>
      </c>
      <c r="Z6" s="12" t="s">
        <v>439</v>
      </c>
      <c r="AA6" s="10">
        <v>1</v>
      </c>
      <c r="AD6" s="12" t="s">
        <v>393</v>
      </c>
      <c r="AE6" s="13">
        <v>21901</v>
      </c>
    </row>
    <row r="7" spans="1:31">
      <c r="A7" s="12" t="s">
        <v>391</v>
      </c>
      <c r="B7" s="10">
        <v>15</v>
      </c>
      <c r="D7" s="14" t="s">
        <v>397</v>
      </c>
      <c r="E7" s="10">
        <v>58</v>
      </c>
      <c r="F7" s="10">
        <v>15</v>
      </c>
      <c r="H7" s="10"/>
      <c r="I7" s="10"/>
      <c r="K7" s="12" t="s">
        <v>36</v>
      </c>
      <c r="L7" s="10">
        <v>2</v>
      </c>
      <c r="Q7" s="12" t="s">
        <v>408</v>
      </c>
      <c r="R7" s="10">
        <v>17</v>
      </c>
      <c r="S7" s="10">
        <v>69</v>
      </c>
      <c r="V7" s="12" t="s">
        <v>437</v>
      </c>
      <c r="W7" s="10">
        <v>1</v>
      </c>
      <c r="Z7" s="12" t="s">
        <v>441</v>
      </c>
      <c r="AA7" s="10">
        <v>1</v>
      </c>
    </row>
    <row r="8" spans="1:31">
      <c r="A8" s="12" t="s">
        <v>392</v>
      </c>
      <c r="B8" s="10">
        <v>2</v>
      </c>
      <c r="D8" s="14" t="s">
        <v>403</v>
      </c>
      <c r="E8" s="10">
        <v>35</v>
      </c>
      <c r="F8" s="10">
        <v>16</v>
      </c>
      <c r="H8" s="10"/>
      <c r="I8" s="10"/>
      <c r="K8" s="12" t="s">
        <v>393</v>
      </c>
      <c r="L8" s="10">
        <v>102</v>
      </c>
      <c r="Q8" s="12" t="s">
        <v>407</v>
      </c>
      <c r="R8" s="10">
        <v>17</v>
      </c>
      <c r="S8" s="10">
        <v>69</v>
      </c>
      <c r="V8" s="12" t="s">
        <v>443</v>
      </c>
      <c r="W8" s="10">
        <v>1</v>
      </c>
      <c r="Z8" s="12" t="s">
        <v>444</v>
      </c>
      <c r="AA8" s="10">
        <v>1</v>
      </c>
    </row>
    <row r="9" spans="1:31">
      <c r="A9" s="12" t="s">
        <v>393</v>
      </c>
      <c r="B9" s="10">
        <v>102</v>
      </c>
      <c r="D9" s="14" t="s">
        <v>405</v>
      </c>
      <c r="E9" s="10">
        <v>49</v>
      </c>
      <c r="F9" s="10">
        <v>16</v>
      </c>
      <c r="H9" s="10"/>
      <c r="I9" s="10"/>
      <c r="Q9" s="12" t="s">
        <v>452</v>
      </c>
      <c r="R9" s="10">
        <v>17</v>
      </c>
      <c r="S9" s="10">
        <v>66</v>
      </c>
      <c r="V9" s="12" t="s">
        <v>446</v>
      </c>
      <c r="W9" s="10">
        <v>1</v>
      </c>
      <c r="Z9" s="12" t="s">
        <v>449</v>
      </c>
      <c r="AA9" s="10">
        <v>1</v>
      </c>
    </row>
    <row r="10" spans="1:31">
      <c r="D10" s="14" t="s">
        <v>407</v>
      </c>
      <c r="E10" s="10">
        <v>69</v>
      </c>
      <c r="F10" s="10">
        <v>17</v>
      </c>
      <c r="H10" s="10"/>
      <c r="I10" s="10"/>
      <c r="Q10" s="12" t="s">
        <v>409</v>
      </c>
      <c r="R10" s="10">
        <v>17</v>
      </c>
      <c r="S10" s="10">
        <v>69</v>
      </c>
      <c r="V10" s="12" t="s">
        <v>452</v>
      </c>
      <c r="W10" s="10">
        <v>1</v>
      </c>
      <c r="Z10" s="12" t="s">
        <v>451</v>
      </c>
      <c r="AA10" s="10">
        <v>1</v>
      </c>
      <c r="AC10" s="11" t="s">
        <v>502</v>
      </c>
      <c r="AD10" t="s">
        <v>519</v>
      </c>
    </row>
    <row r="11" spans="1:31">
      <c r="D11" s="14" t="s">
        <v>408</v>
      </c>
      <c r="E11" s="10">
        <v>69</v>
      </c>
      <c r="F11" s="10">
        <v>17</v>
      </c>
      <c r="H11" s="10"/>
      <c r="I11" s="10"/>
      <c r="Q11" s="12" t="s">
        <v>421</v>
      </c>
      <c r="R11" s="10">
        <v>17</v>
      </c>
      <c r="S11" s="10">
        <v>69</v>
      </c>
      <c r="V11" s="12" t="s">
        <v>454</v>
      </c>
      <c r="W11" s="10">
        <v>1</v>
      </c>
      <c r="Z11" s="12" t="s">
        <v>455</v>
      </c>
      <c r="AA11" s="10">
        <v>1</v>
      </c>
      <c r="AC11" s="12">
        <v>12</v>
      </c>
      <c r="AD11" s="13">
        <v>122</v>
      </c>
    </row>
    <row r="12" spans="1:31">
      <c r="D12" s="14" t="s">
        <v>411</v>
      </c>
      <c r="E12" s="10">
        <v>69</v>
      </c>
      <c r="F12" s="10">
        <v>17</v>
      </c>
      <c r="H12" s="10"/>
      <c r="I12" s="10"/>
      <c r="K12" s="11" t="s">
        <v>1</v>
      </c>
      <c r="N12" s="11" t="s">
        <v>387</v>
      </c>
      <c r="O12" t="s">
        <v>513</v>
      </c>
      <c r="Q12" s="12" t="s">
        <v>433</v>
      </c>
      <c r="R12" s="10">
        <v>17</v>
      </c>
      <c r="S12" s="10">
        <v>54</v>
      </c>
      <c r="V12" s="12" t="s">
        <v>459</v>
      </c>
      <c r="W12" s="10">
        <v>1</v>
      </c>
      <c r="Z12" s="12" t="s">
        <v>458</v>
      </c>
      <c r="AA12" s="10">
        <v>1</v>
      </c>
      <c r="AC12" s="12">
        <v>70</v>
      </c>
      <c r="AD12" s="13">
        <v>122</v>
      </c>
    </row>
    <row r="13" spans="1:31">
      <c r="D13" s="14" t="s">
        <v>413</v>
      </c>
      <c r="E13" s="10">
        <v>39</v>
      </c>
      <c r="F13" s="10">
        <v>15</v>
      </c>
      <c r="H13" s="10"/>
      <c r="I13" s="10"/>
      <c r="K13" s="12" t="s">
        <v>388</v>
      </c>
      <c r="N13" s="12" t="s">
        <v>507</v>
      </c>
      <c r="O13" s="10">
        <v>31</v>
      </c>
      <c r="Q13" s="12" t="s">
        <v>437</v>
      </c>
      <c r="R13" s="10">
        <v>17</v>
      </c>
      <c r="S13" s="10">
        <v>50</v>
      </c>
      <c r="V13" s="12" t="s">
        <v>466</v>
      </c>
      <c r="W13" s="10">
        <v>1</v>
      </c>
      <c r="Z13" s="12" t="s">
        <v>461</v>
      </c>
      <c r="AA13" s="10">
        <v>1</v>
      </c>
      <c r="AC13" s="12">
        <v>62</v>
      </c>
      <c r="AD13" s="13">
        <v>122</v>
      </c>
    </row>
    <row r="14" spans="1:31">
      <c r="D14" s="14" t="s">
        <v>416</v>
      </c>
      <c r="E14" s="10">
        <v>54</v>
      </c>
      <c r="F14" s="10">
        <v>16</v>
      </c>
      <c r="H14" s="10"/>
      <c r="I14" s="10"/>
      <c r="K14" s="14" t="s">
        <v>396</v>
      </c>
      <c r="N14" s="12" t="s">
        <v>508</v>
      </c>
      <c r="O14" s="10">
        <v>28</v>
      </c>
      <c r="Q14" s="12" t="s">
        <v>410</v>
      </c>
      <c r="R14" s="10">
        <v>17</v>
      </c>
      <c r="S14" s="10">
        <v>69</v>
      </c>
      <c r="V14" s="12" t="s">
        <v>468</v>
      </c>
      <c r="W14" s="10">
        <v>1</v>
      </c>
      <c r="Z14" s="12" t="s">
        <v>463</v>
      </c>
      <c r="AA14" s="10">
        <v>1</v>
      </c>
      <c r="AC14" s="12">
        <v>57</v>
      </c>
      <c r="AD14" s="13">
        <v>72</v>
      </c>
    </row>
    <row r="15" spans="1:31">
      <c r="D15" s="14" t="s">
        <v>417</v>
      </c>
      <c r="E15" s="10">
        <v>39</v>
      </c>
      <c r="F15" s="10">
        <v>16</v>
      </c>
      <c r="H15" s="10"/>
      <c r="I15" s="10"/>
      <c r="K15" s="14" t="s">
        <v>402</v>
      </c>
      <c r="N15" s="12" t="s">
        <v>511</v>
      </c>
      <c r="O15" s="10">
        <v>10</v>
      </c>
      <c r="Q15" s="12" t="s">
        <v>441</v>
      </c>
      <c r="R15" s="10">
        <v>17</v>
      </c>
      <c r="S15" s="10">
        <v>66</v>
      </c>
      <c r="V15" s="12" t="s">
        <v>471</v>
      </c>
      <c r="W15" s="10">
        <v>1</v>
      </c>
      <c r="Z15" s="12" t="s">
        <v>465</v>
      </c>
      <c r="AA15" s="10">
        <v>1</v>
      </c>
      <c r="AC15" s="12">
        <v>36</v>
      </c>
      <c r="AD15" s="13">
        <v>48</v>
      </c>
    </row>
    <row r="16" spans="1:31">
      <c r="D16" s="14" t="s">
        <v>418</v>
      </c>
      <c r="E16" s="10">
        <v>46</v>
      </c>
      <c r="F16" s="10">
        <v>16</v>
      </c>
      <c r="H16" s="10"/>
      <c r="I16" s="10"/>
      <c r="K16" s="14" t="s">
        <v>403</v>
      </c>
      <c r="N16" s="12" t="s">
        <v>509</v>
      </c>
      <c r="O16" s="10">
        <v>1</v>
      </c>
      <c r="Q16" s="12" t="s">
        <v>411</v>
      </c>
      <c r="R16" s="10">
        <v>17</v>
      </c>
      <c r="S16" s="10">
        <v>69</v>
      </c>
      <c r="V16" s="12" t="s">
        <v>472</v>
      </c>
      <c r="W16" s="10">
        <v>1</v>
      </c>
      <c r="Z16" s="12" t="s">
        <v>474</v>
      </c>
      <c r="AA16" s="10">
        <v>1</v>
      </c>
      <c r="AC16" s="12">
        <v>25</v>
      </c>
      <c r="AD16" s="13">
        <v>48</v>
      </c>
    </row>
    <row r="17" spans="4:30">
      <c r="D17" s="14" t="s">
        <v>419</v>
      </c>
      <c r="E17" s="10">
        <v>48</v>
      </c>
      <c r="F17" s="10">
        <v>16</v>
      </c>
      <c r="H17" s="10"/>
      <c r="I17" s="10"/>
      <c r="K17" s="14" t="s">
        <v>404</v>
      </c>
      <c r="N17" s="12" t="s">
        <v>512</v>
      </c>
      <c r="O17" s="10">
        <v>1</v>
      </c>
      <c r="Q17" s="12" t="s">
        <v>459</v>
      </c>
      <c r="R17" s="10">
        <v>17</v>
      </c>
      <c r="S17" s="10">
        <v>50</v>
      </c>
      <c r="V17" s="12" t="s">
        <v>479</v>
      </c>
      <c r="W17" s="10">
        <v>1</v>
      </c>
      <c r="Z17" s="12" t="s">
        <v>476</v>
      </c>
      <c r="AA17" s="10">
        <v>1</v>
      </c>
      <c r="AC17" s="12">
        <v>33</v>
      </c>
      <c r="AD17" s="13">
        <v>48</v>
      </c>
    </row>
    <row r="18" spans="4:30">
      <c r="D18" s="14" t="s">
        <v>421</v>
      </c>
      <c r="E18" s="10">
        <v>69</v>
      </c>
      <c r="F18" s="10">
        <v>17</v>
      </c>
      <c r="H18" s="10"/>
      <c r="I18" s="10"/>
      <c r="K18" s="14" t="s">
        <v>406</v>
      </c>
      <c r="N18" s="12" t="s">
        <v>510</v>
      </c>
      <c r="O18" s="10">
        <v>1</v>
      </c>
      <c r="Q18" s="12" t="s">
        <v>412</v>
      </c>
      <c r="R18" s="10">
        <v>17</v>
      </c>
      <c r="S18" s="10">
        <v>69</v>
      </c>
      <c r="V18" s="12" t="s">
        <v>485</v>
      </c>
      <c r="W18" s="10">
        <v>1</v>
      </c>
      <c r="Z18" s="12" t="s">
        <v>478</v>
      </c>
      <c r="AA18" s="10">
        <v>1</v>
      </c>
      <c r="AC18" s="12">
        <v>46</v>
      </c>
      <c r="AD18" s="13">
        <v>48</v>
      </c>
    </row>
    <row r="19" spans="4:30">
      <c r="D19" s="14" t="s">
        <v>422</v>
      </c>
      <c r="E19" s="10">
        <v>70</v>
      </c>
      <c r="F19" s="10">
        <v>15</v>
      </c>
      <c r="H19" s="10"/>
      <c r="I19" s="10"/>
      <c r="K19" s="14" t="s">
        <v>413</v>
      </c>
      <c r="N19" s="12" t="s">
        <v>506</v>
      </c>
      <c r="O19" s="10">
        <v>30</v>
      </c>
      <c r="Q19" s="12" t="s">
        <v>399</v>
      </c>
      <c r="R19" s="10">
        <v>17</v>
      </c>
      <c r="S19" s="10">
        <v>69</v>
      </c>
      <c r="V19" s="12" t="s">
        <v>488</v>
      </c>
      <c r="W19" s="10">
        <v>1</v>
      </c>
      <c r="Z19" s="12" t="s">
        <v>481</v>
      </c>
      <c r="AA19" s="10">
        <v>1</v>
      </c>
      <c r="AC19" s="12">
        <v>26</v>
      </c>
      <c r="AD19" s="13">
        <v>45</v>
      </c>
    </row>
    <row r="20" spans="4:30">
      <c r="D20" s="14" t="s">
        <v>425</v>
      </c>
      <c r="E20" s="10">
        <v>55</v>
      </c>
      <c r="F20" s="10">
        <v>15</v>
      </c>
      <c r="H20" s="10"/>
      <c r="I20" s="10"/>
      <c r="K20" s="14" t="s">
        <v>415</v>
      </c>
      <c r="N20" s="12" t="s">
        <v>393</v>
      </c>
      <c r="O20" s="10">
        <v>102</v>
      </c>
      <c r="Q20" s="12" t="s">
        <v>479</v>
      </c>
      <c r="R20" s="10">
        <v>17</v>
      </c>
      <c r="S20" s="10">
        <v>69</v>
      </c>
      <c r="V20" s="12" t="s">
        <v>489</v>
      </c>
      <c r="W20" s="10">
        <v>1</v>
      </c>
      <c r="Z20" s="12" t="s">
        <v>483</v>
      </c>
      <c r="AA20" s="10">
        <v>1</v>
      </c>
      <c r="AC20" s="12">
        <v>87</v>
      </c>
      <c r="AD20" s="13">
        <v>38</v>
      </c>
    </row>
    <row r="21" spans="4:30">
      <c r="D21" s="14" t="s">
        <v>427</v>
      </c>
      <c r="E21" s="10">
        <v>54</v>
      </c>
      <c r="F21" s="10">
        <v>15</v>
      </c>
      <c r="H21" s="10"/>
      <c r="I21" s="10"/>
      <c r="K21" s="14" t="s">
        <v>417</v>
      </c>
      <c r="Q21" s="12" t="s">
        <v>414</v>
      </c>
      <c r="R21" s="10">
        <v>17</v>
      </c>
      <c r="S21" s="10">
        <v>69</v>
      </c>
      <c r="V21" s="12" t="s">
        <v>395</v>
      </c>
      <c r="W21" s="10">
        <v>1</v>
      </c>
      <c r="Z21" s="12" t="s">
        <v>491</v>
      </c>
      <c r="AA21" s="10">
        <v>1</v>
      </c>
      <c r="AC21" s="12">
        <v>72</v>
      </c>
      <c r="AD21" s="13">
        <v>38</v>
      </c>
    </row>
    <row r="22" spans="4:30">
      <c r="D22" s="14" t="s">
        <v>429</v>
      </c>
      <c r="E22" s="10">
        <v>40</v>
      </c>
      <c r="F22" s="10">
        <v>16</v>
      </c>
      <c r="H22" s="10"/>
      <c r="I22" s="10"/>
      <c r="K22" s="14" t="s">
        <v>420</v>
      </c>
      <c r="Q22" s="12" t="s">
        <v>439</v>
      </c>
      <c r="R22" s="10">
        <v>17</v>
      </c>
      <c r="S22" s="10">
        <v>73</v>
      </c>
      <c r="V22" s="12" t="s">
        <v>396</v>
      </c>
      <c r="W22" s="10">
        <v>1</v>
      </c>
      <c r="Z22" s="12" t="s">
        <v>493</v>
      </c>
      <c r="AA22" s="10">
        <v>1</v>
      </c>
      <c r="AC22" s="12">
        <v>67</v>
      </c>
      <c r="AD22" s="13">
        <v>38</v>
      </c>
    </row>
    <row r="23" spans="4:30">
      <c r="D23" s="14" t="s">
        <v>430</v>
      </c>
      <c r="E23" s="10">
        <v>36</v>
      </c>
      <c r="F23" s="10">
        <v>16</v>
      </c>
      <c r="H23" s="10"/>
      <c r="I23" s="10"/>
      <c r="K23" s="14" t="s">
        <v>428</v>
      </c>
      <c r="Q23" s="12" t="s">
        <v>468</v>
      </c>
      <c r="R23" s="10">
        <v>16</v>
      </c>
      <c r="S23" s="10">
        <v>39</v>
      </c>
      <c r="V23" s="12" t="s">
        <v>397</v>
      </c>
      <c r="W23" s="10">
        <v>1</v>
      </c>
      <c r="Z23" s="12" t="s">
        <v>494</v>
      </c>
      <c r="AA23" s="10">
        <v>1</v>
      </c>
      <c r="AC23" s="12">
        <v>18</v>
      </c>
      <c r="AD23" s="13">
        <v>38</v>
      </c>
    </row>
    <row r="24" spans="4:30">
      <c r="D24" s="14" t="s">
        <v>431</v>
      </c>
      <c r="E24" s="10">
        <v>48</v>
      </c>
      <c r="F24" s="10">
        <v>16</v>
      </c>
      <c r="H24" s="10"/>
      <c r="I24" s="10"/>
      <c r="K24" s="14" t="s">
        <v>429</v>
      </c>
      <c r="Q24" s="12" t="s">
        <v>488</v>
      </c>
      <c r="R24" s="10">
        <v>16</v>
      </c>
      <c r="S24" s="10">
        <v>39</v>
      </c>
      <c r="V24" s="12" t="s">
        <v>403</v>
      </c>
      <c r="W24" s="10">
        <v>1</v>
      </c>
      <c r="Z24" s="12" t="s">
        <v>398</v>
      </c>
      <c r="AA24" s="10">
        <v>1</v>
      </c>
      <c r="AC24" s="12">
        <v>81</v>
      </c>
      <c r="AD24" s="13">
        <v>38</v>
      </c>
    </row>
    <row r="25" spans="4:30">
      <c r="D25" s="14" t="s">
        <v>432</v>
      </c>
      <c r="E25" s="10">
        <v>56</v>
      </c>
      <c r="F25" s="10">
        <v>16</v>
      </c>
      <c r="H25" s="10"/>
      <c r="I25" s="10"/>
      <c r="K25" s="14" t="s">
        <v>430</v>
      </c>
      <c r="Q25" s="12" t="s">
        <v>480</v>
      </c>
      <c r="R25" s="10">
        <v>16</v>
      </c>
      <c r="S25" s="10">
        <v>53</v>
      </c>
      <c r="V25" s="12" t="s">
        <v>405</v>
      </c>
      <c r="W25" s="10">
        <v>1</v>
      </c>
      <c r="Z25" s="12" t="s">
        <v>399</v>
      </c>
      <c r="AA25" s="10">
        <v>1</v>
      </c>
      <c r="AC25" s="12">
        <v>39</v>
      </c>
      <c r="AD25" s="13">
        <v>38</v>
      </c>
    </row>
    <row r="26" spans="4:30">
      <c r="D26" s="14" t="s">
        <v>435</v>
      </c>
      <c r="E26" s="10">
        <v>51</v>
      </c>
      <c r="F26" s="10">
        <v>18</v>
      </c>
      <c r="H26" s="10"/>
      <c r="I26" s="10"/>
      <c r="K26" s="14" t="s">
        <v>436</v>
      </c>
      <c r="Q26" s="12" t="s">
        <v>418</v>
      </c>
      <c r="R26" s="10">
        <v>16</v>
      </c>
      <c r="S26" s="10">
        <v>46</v>
      </c>
      <c r="V26" s="12" t="s">
        <v>407</v>
      </c>
      <c r="W26" s="10">
        <v>1</v>
      </c>
      <c r="Z26" s="12" t="s">
        <v>400</v>
      </c>
      <c r="AA26" s="10">
        <v>1</v>
      </c>
      <c r="AC26" s="12">
        <v>66</v>
      </c>
      <c r="AD26" s="13">
        <v>38</v>
      </c>
    </row>
    <row r="27" spans="4:30">
      <c r="D27" s="14" t="s">
        <v>437</v>
      </c>
      <c r="E27" s="10">
        <v>50</v>
      </c>
      <c r="F27" s="10">
        <v>17</v>
      </c>
      <c r="H27" s="10"/>
      <c r="I27" s="10"/>
      <c r="K27" s="14" t="s">
        <v>440</v>
      </c>
      <c r="Q27" s="12" t="s">
        <v>417</v>
      </c>
      <c r="R27" s="10">
        <v>16</v>
      </c>
      <c r="S27" s="10">
        <v>39</v>
      </c>
      <c r="V27" s="12" t="s">
        <v>408</v>
      </c>
      <c r="W27" s="10">
        <v>1</v>
      </c>
      <c r="Z27" s="12" t="s">
        <v>401</v>
      </c>
      <c r="AA27" s="10">
        <v>1</v>
      </c>
      <c r="AC27" s="12">
        <v>94</v>
      </c>
      <c r="AD27" s="13">
        <v>38</v>
      </c>
    </row>
    <row r="28" spans="4:30">
      <c r="D28" s="14" t="s">
        <v>440</v>
      </c>
      <c r="E28" s="10">
        <v>37</v>
      </c>
      <c r="F28" s="10">
        <v>16</v>
      </c>
      <c r="H28" s="10"/>
      <c r="I28" s="10"/>
      <c r="K28" s="14" t="s">
        <v>443</v>
      </c>
      <c r="Q28" s="12" t="s">
        <v>419</v>
      </c>
      <c r="R28" s="10">
        <v>16</v>
      </c>
      <c r="S28" s="10">
        <v>48</v>
      </c>
      <c r="V28" s="12" t="s">
        <v>411</v>
      </c>
      <c r="W28" s="10">
        <v>1</v>
      </c>
      <c r="Z28" s="12" t="s">
        <v>402</v>
      </c>
      <c r="AA28" s="10">
        <v>1</v>
      </c>
      <c r="AC28" s="12">
        <v>17</v>
      </c>
      <c r="AD28" s="13">
        <v>38</v>
      </c>
    </row>
    <row r="29" spans="4:30">
      <c r="D29" s="14" t="s">
        <v>442</v>
      </c>
      <c r="E29" s="10">
        <v>42</v>
      </c>
      <c r="F29" s="10">
        <v>16</v>
      </c>
      <c r="H29" s="10"/>
      <c r="I29" s="10"/>
      <c r="K29" s="14" t="s">
        <v>444</v>
      </c>
      <c r="Q29" s="12" t="s">
        <v>476</v>
      </c>
      <c r="R29" s="10">
        <v>16</v>
      </c>
      <c r="S29" s="10">
        <v>42</v>
      </c>
      <c r="V29" s="12" t="s">
        <v>413</v>
      </c>
      <c r="W29" s="10">
        <v>1</v>
      </c>
      <c r="Z29" s="12" t="s">
        <v>404</v>
      </c>
      <c r="AA29" s="10">
        <v>1</v>
      </c>
      <c r="AC29" s="12">
        <v>68</v>
      </c>
      <c r="AD29" s="13">
        <v>38</v>
      </c>
    </row>
    <row r="30" spans="4:30">
      <c r="D30" s="14" t="s">
        <v>443</v>
      </c>
      <c r="E30" s="10">
        <v>38</v>
      </c>
      <c r="F30" s="10">
        <v>16</v>
      </c>
      <c r="H30" s="10"/>
      <c r="I30" s="10"/>
      <c r="K30" s="14" t="s">
        <v>445</v>
      </c>
      <c r="Q30" s="12" t="s">
        <v>420</v>
      </c>
      <c r="R30" s="10">
        <v>16</v>
      </c>
      <c r="S30" s="10">
        <v>36</v>
      </c>
      <c r="V30" s="12" t="s">
        <v>416</v>
      </c>
      <c r="W30" s="10">
        <v>1</v>
      </c>
      <c r="Z30" s="12" t="s">
        <v>406</v>
      </c>
      <c r="AA30" s="10">
        <v>1</v>
      </c>
      <c r="AC30" s="12">
        <v>97</v>
      </c>
      <c r="AD30" s="13">
        <v>38</v>
      </c>
    </row>
    <row r="31" spans="4:30">
      <c r="D31" s="14" t="s">
        <v>445</v>
      </c>
      <c r="E31" s="10">
        <v>38</v>
      </c>
      <c r="F31" s="10">
        <v>16</v>
      </c>
      <c r="H31" s="10"/>
      <c r="I31" s="10"/>
      <c r="K31" s="14" t="s">
        <v>454</v>
      </c>
      <c r="Q31" s="12" t="s">
        <v>484</v>
      </c>
      <c r="R31" s="10">
        <v>16</v>
      </c>
      <c r="S31" s="10">
        <v>35</v>
      </c>
      <c r="V31" s="12" t="s">
        <v>417</v>
      </c>
      <c r="W31" s="10">
        <v>1</v>
      </c>
      <c r="Z31" s="12" t="s">
        <v>409</v>
      </c>
      <c r="AA31" s="10">
        <v>1</v>
      </c>
      <c r="AC31" s="12">
        <v>74</v>
      </c>
      <c r="AD31" s="13">
        <v>38</v>
      </c>
    </row>
    <row r="32" spans="4:30">
      <c r="D32" s="14" t="s">
        <v>446</v>
      </c>
      <c r="E32" s="10">
        <v>46</v>
      </c>
      <c r="F32" s="10">
        <v>16</v>
      </c>
      <c r="H32" s="10"/>
      <c r="I32" s="10"/>
      <c r="K32" s="14" t="s">
        <v>461</v>
      </c>
      <c r="Q32" s="12" t="s">
        <v>406</v>
      </c>
      <c r="R32" s="10">
        <v>16</v>
      </c>
      <c r="S32" s="10">
        <v>37</v>
      </c>
      <c r="V32" s="12" t="s">
        <v>418</v>
      </c>
      <c r="W32" s="10">
        <v>1</v>
      </c>
      <c r="Z32" s="12" t="s">
        <v>410</v>
      </c>
      <c r="AA32" s="10">
        <v>1</v>
      </c>
      <c r="AC32" s="12">
        <v>21</v>
      </c>
      <c r="AD32" s="13">
        <v>38</v>
      </c>
    </row>
    <row r="33" spans="4:30">
      <c r="D33" s="14" t="s">
        <v>448</v>
      </c>
      <c r="E33" s="10">
        <v>54</v>
      </c>
      <c r="F33" s="10">
        <v>15</v>
      </c>
      <c r="H33" s="10"/>
      <c r="I33" s="10"/>
      <c r="K33" s="14" t="s">
        <v>468</v>
      </c>
      <c r="Q33" s="12" t="s">
        <v>492</v>
      </c>
      <c r="R33" s="10">
        <v>16</v>
      </c>
      <c r="S33" s="10">
        <v>52</v>
      </c>
      <c r="V33" s="12" t="s">
        <v>419</v>
      </c>
      <c r="W33" s="10">
        <v>1</v>
      </c>
      <c r="Z33" s="12" t="s">
        <v>412</v>
      </c>
      <c r="AA33" s="10">
        <v>1</v>
      </c>
      <c r="AC33" s="12">
        <v>82</v>
      </c>
      <c r="AD33" s="13">
        <v>38</v>
      </c>
    </row>
    <row r="34" spans="4:30">
      <c r="D34" s="14" t="s">
        <v>452</v>
      </c>
      <c r="E34" s="10">
        <v>66</v>
      </c>
      <c r="F34" s="10">
        <v>17</v>
      </c>
      <c r="H34" s="10"/>
      <c r="I34" s="10"/>
      <c r="K34" s="14" t="s">
        <v>469</v>
      </c>
      <c r="Q34" s="12" t="s">
        <v>426</v>
      </c>
      <c r="R34" s="10">
        <v>16</v>
      </c>
      <c r="S34" s="10">
        <v>49</v>
      </c>
      <c r="V34" s="12" t="s">
        <v>421</v>
      </c>
      <c r="W34" s="10">
        <v>1</v>
      </c>
      <c r="Z34" s="12" t="s">
        <v>414</v>
      </c>
      <c r="AA34" s="10">
        <v>1</v>
      </c>
      <c r="AC34" s="12">
        <v>59</v>
      </c>
      <c r="AD34" s="13">
        <v>38</v>
      </c>
    </row>
    <row r="35" spans="4:30">
      <c r="D35" s="14" t="s">
        <v>453</v>
      </c>
      <c r="E35" s="10">
        <v>52</v>
      </c>
      <c r="F35" s="10">
        <v>15</v>
      </c>
      <c r="H35" s="10"/>
      <c r="I35" s="10"/>
      <c r="K35" s="14" t="s">
        <v>470</v>
      </c>
      <c r="Q35" s="12" t="s">
        <v>462</v>
      </c>
      <c r="R35" s="10">
        <v>16</v>
      </c>
      <c r="S35" s="10">
        <v>53</v>
      </c>
      <c r="V35" s="12" t="s">
        <v>422</v>
      </c>
      <c r="W35" s="10">
        <v>1</v>
      </c>
      <c r="Z35" s="12" t="s">
        <v>415</v>
      </c>
      <c r="AA35" s="10">
        <v>1</v>
      </c>
      <c r="AC35" s="12">
        <v>28</v>
      </c>
      <c r="AD35" s="13">
        <v>38</v>
      </c>
    </row>
    <row r="36" spans="4:30">
      <c r="D36" s="14" t="s">
        <v>454</v>
      </c>
      <c r="E36" s="10">
        <v>36</v>
      </c>
      <c r="F36" s="10">
        <v>14</v>
      </c>
      <c r="H36" s="10"/>
      <c r="I36" s="10"/>
      <c r="K36" s="14" t="s">
        <v>471</v>
      </c>
      <c r="Q36" s="12" t="s">
        <v>428</v>
      </c>
      <c r="R36" s="10">
        <v>16</v>
      </c>
      <c r="S36" s="10">
        <v>34</v>
      </c>
      <c r="V36" s="12" t="s">
        <v>425</v>
      </c>
      <c r="W36" s="10">
        <v>1</v>
      </c>
      <c r="Z36" s="12" t="s">
        <v>420</v>
      </c>
      <c r="AA36" s="10">
        <v>1</v>
      </c>
      <c r="AC36" s="12">
        <v>4</v>
      </c>
      <c r="AD36" s="13">
        <v>38</v>
      </c>
    </row>
    <row r="37" spans="4:30">
      <c r="D37" s="14" t="s">
        <v>457</v>
      </c>
      <c r="E37" s="10">
        <v>73</v>
      </c>
      <c r="F37" s="10">
        <v>15</v>
      </c>
      <c r="H37" s="10"/>
      <c r="I37" s="10"/>
      <c r="K37" s="14" t="s">
        <v>473</v>
      </c>
      <c r="Q37" s="12" t="s">
        <v>472</v>
      </c>
      <c r="R37" s="10">
        <v>16</v>
      </c>
      <c r="S37" s="10">
        <v>63</v>
      </c>
      <c r="V37" s="12" t="s">
        <v>427</v>
      </c>
      <c r="W37" s="10">
        <v>1</v>
      </c>
      <c r="Z37" s="12" t="s">
        <v>423</v>
      </c>
      <c r="AA37" s="10">
        <v>1</v>
      </c>
      <c r="AC37" s="12">
        <v>49</v>
      </c>
      <c r="AD37" s="13">
        <v>38</v>
      </c>
    </row>
    <row r="38" spans="4:30">
      <c r="D38" s="14" t="s">
        <v>459</v>
      </c>
      <c r="E38" s="10">
        <v>50</v>
      </c>
      <c r="F38" s="10">
        <v>17</v>
      </c>
      <c r="H38" s="10"/>
      <c r="I38" s="10"/>
      <c r="K38" s="14" t="s">
        <v>475</v>
      </c>
      <c r="Q38" s="12" t="s">
        <v>429</v>
      </c>
      <c r="R38" s="10">
        <v>16</v>
      </c>
      <c r="S38" s="10">
        <v>40</v>
      </c>
      <c r="V38" s="12" t="s">
        <v>429</v>
      </c>
      <c r="W38" s="10">
        <v>1</v>
      </c>
      <c r="Z38" s="12" t="s">
        <v>424</v>
      </c>
      <c r="AA38" s="10">
        <v>1</v>
      </c>
      <c r="AC38" s="12">
        <v>58</v>
      </c>
      <c r="AD38" s="13">
        <v>38</v>
      </c>
    </row>
    <row r="39" spans="4:30">
      <c r="D39" s="14" t="s">
        <v>460</v>
      </c>
      <c r="E39" s="10">
        <v>54</v>
      </c>
      <c r="F39" s="10">
        <v>15</v>
      </c>
      <c r="H39" s="10"/>
      <c r="I39" s="10"/>
      <c r="K39" s="14" t="s">
        <v>481</v>
      </c>
      <c r="Q39" s="12" t="s">
        <v>478</v>
      </c>
      <c r="R39" s="10">
        <v>16</v>
      </c>
      <c r="S39" s="10">
        <v>43</v>
      </c>
      <c r="V39" s="12" t="s">
        <v>430</v>
      </c>
      <c r="W39" s="10">
        <v>1</v>
      </c>
      <c r="Z39" s="12" t="s">
        <v>426</v>
      </c>
      <c r="AA39" s="10">
        <v>1</v>
      </c>
      <c r="AC39" s="12">
        <v>41</v>
      </c>
      <c r="AD39" s="13">
        <v>36</v>
      </c>
    </row>
    <row r="40" spans="4:30">
      <c r="D40" s="14" t="s">
        <v>464</v>
      </c>
      <c r="E40" s="10">
        <v>41</v>
      </c>
      <c r="F40" s="10">
        <v>16</v>
      </c>
      <c r="H40" s="10"/>
      <c r="I40" s="10"/>
      <c r="K40" s="14" t="s">
        <v>482</v>
      </c>
      <c r="Q40" s="12" t="s">
        <v>430</v>
      </c>
      <c r="R40" s="10">
        <v>16</v>
      </c>
      <c r="S40" s="10">
        <v>36</v>
      </c>
      <c r="V40" s="12" t="s">
        <v>431</v>
      </c>
      <c r="W40" s="10">
        <v>1</v>
      </c>
      <c r="Z40" s="12" t="s">
        <v>428</v>
      </c>
      <c r="AA40" s="10">
        <v>1</v>
      </c>
      <c r="AC40" s="12">
        <v>99</v>
      </c>
      <c r="AD40" s="13">
        <v>32</v>
      </c>
    </row>
    <row r="41" spans="4:30">
      <c r="D41" s="14" t="s">
        <v>466</v>
      </c>
      <c r="E41" s="10">
        <v>50</v>
      </c>
      <c r="F41" s="10">
        <v>14</v>
      </c>
      <c r="H41" s="10"/>
      <c r="I41" s="10"/>
      <c r="K41" s="14" t="s">
        <v>484</v>
      </c>
      <c r="Q41" s="12" t="s">
        <v>482</v>
      </c>
      <c r="R41" s="10">
        <v>16</v>
      </c>
      <c r="S41" s="10">
        <v>39</v>
      </c>
      <c r="V41" s="12" t="s">
        <v>440</v>
      </c>
      <c r="W41" s="10">
        <v>1</v>
      </c>
      <c r="Z41" s="12" t="s">
        <v>434</v>
      </c>
      <c r="AA41" s="10">
        <v>1</v>
      </c>
      <c r="AC41" s="12">
        <v>60</v>
      </c>
      <c r="AD41" s="13">
        <v>30</v>
      </c>
    </row>
    <row r="42" spans="4:30">
      <c r="D42" s="14" t="s">
        <v>468</v>
      </c>
      <c r="E42" s="10">
        <v>39</v>
      </c>
      <c r="F42" s="10">
        <v>16</v>
      </c>
      <c r="H42" s="10"/>
      <c r="I42" s="10"/>
      <c r="K42" s="14" t="s">
        <v>485</v>
      </c>
      <c r="Q42" s="12" t="s">
        <v>431</v>
      </c>
      <c r="R42" s="10">
        <v>16</v>
      </c>
      <c r="S42" s="10">
        <v>48</v>
      </c>
      <c r="V42" s="12" t="s">
        <v>442</v>
      </c>
      <c r="W42" s="10">
        <v>1</v>
      </c>
      <c r="Z42" s="12" t="s">
        <v>436</v>
      </c>
      <c r="AA42" s="10">
        <v>1</v>
      </c>
      <c r="AC42" s="12">
        <v>86</v>
      </c>
      <c r="AD42" s="13">
        <v>24</v>
      </c>
    </row>
    <row r="43" spans="4:30">
      <c r="D43" s="14" t="s">
        <v>469</v>
      </c>
      <c r="E43" s="10">
        <v>39</v>
      </c>
      <c r="F43" s="10">
        <v>15</v>
      </c>
      <c r="H43" s="10"/>
      <c r="I43" s="10"/>
      <c r="K43" s="14" t="s">
        <v>486</v>
      </c>
      <c r="Q43" s="12" t="s">
        <v>486</v>
      </c>
      <c r="R43" s="10">
        <v>16</v>
      </c>
      <c r="S43" s="10">
        <v>39</v>
      </c>
      <c r="V43" s="12" t="s">
        <v>445</v>
      </c>
      <c r="W43" s="10">
        <v>1</v>
      </c>
      <c r="Z43" s="12" t="s">
        <v>438</v>
      </c>
      <c r="AA43" s="10">
        <v>1</v>
      </c>
      <c r="AC43" s="12">
        <v>100</v>
      </c>
      <c r="AD43" s="13">
        <v>24</v>
      </c>
    </row>
    <row r="44" spans="4:30">
      <c r="D44" s="14" t="s">
        <v>471</v>
      </c>
      <c r="E44" s="10">
        <v>38</v>
      </c>
      <c r="F44" s="10">
        <v>16</v>
      </c>
      <c r="H44" s="10"/>
      <c r="I44" s="10"/>
      <c r="K44" s="14" t="s">
        <v>488</v>
      </c>
      <c r="Q44" s="12" t="s">
        <v>432</v>
      </c>
      <c r="R44" s="10">
        <v>16</v>
      </c>
      <c r="S44" s="10">
        <v>56</v>
      </c>
      <c r="V44" s="12" t="s">
        <v>448</v>
      </c>
      <c r="W44" s="10">
        <v>1</v>
      </c>
      <c r="Z44" s="12" t="s">
        <v>447</v>
      </c>
      <c r="AA44" s="10">
        <v>1</v>
      </c>
      <c r="AC44" s="12">
        <v>65</v>
      </c>
      <c r="AD44" s="13">
        <v>24</v>
      </c>
    </row>
    <row r="45" spans="4:30">
      <c r="D45" s="14" t="s">
        <v>472</v>
      </c>
      <c r="E45" s="10">
        <v>63</v>
      </c>
      <c r="F45" s="10">
        <v>16</v>
      </c>
      <c r="H45" s="10"/>
      <c r="I45" s="10"/>
      <c r="K45" s="14" t="s">
        <v>493</v>
      </c>
      <c r="Q45" s="12" t="s">
        <v>490</v>
      </c>
      <c r="R45" s="10">
        <v>16</v>
      </c>
      <c r="S45" s="10">
        <v>46</v>
      </c>
      <c r="V45" s="12" t="s">
        <v>453</v>
      </c>
      <c r="W45" s="10">
        <v>1</v>
      </c>
      <c r="Z45" s="12" t="s">
        <v>450</v>
      </c>
      <c r="AA45" s="10">
        <v>1</v>
      </c>
      <c r="AC45" s="12">
        <v>75</v>
      </c>
      <c r="AD45" s="13">
        <v>24</v>
      </c>
    </row>
    <row r="46" spans="4:30">
      <c r="D46" s="14" t="s">
        <v>473</v>
      </c>
      <c r="E46" s="10">
        <v>39</v>
      </c>
      <c r="F46" s="10">
        <v>15</v>
      </c>
      <c r="H46" s="10"/>
      <c r="I46" s="10"/>
      <c r="K46" s="12" t="s">
        <v>389</v>
      </c>
      <c r="Q46" s="12" t="s">
        <v>396</v>
      </c>
      <c r="R46" s="10">
        <v>16</v>
      </c>
      <c r="S46" s="10">
        <v>39</v>
      </c>
      <c r="V46" s="12" t="s">
        <v>457</v>
      </c>
      <c r="W46" s="10">
        <v>1</v>
      </c>
      <c r="Z46" s="12" t="s">
        <v>456</v>
      </c>
      <c r="AA46" s="10">
        <v>1</v>
      </c>
      <c r="AC46" s="12">
        <v>7</v>
      </c>
      <c r="AD46" s="13">
        <v>24</v>
      </c>
    </row>
    <row r="47" spans="4:30">
      <c r="D47" s="14" t="s">
        <v>477</v>
      </c>
      <c r="E47" s="10">
        <v>45</v>
      </c>
      <c r="F47" s="10">
        <v>16</v>
      </c>
      <c r="H47" s="10"/>
      <c r="I47" s="10"/>
      <c r="K47" s="14" t="s">
        <v>395</v>
      </c>
      <c r="Q47" s="12" t="s">
        <v>494</v>
      </c>
      <c r="R47" s="10">
        <v>16</v>
      </c>
      <c r="S47" s="10">
        <v>48</v>
      </c>
      <c r="V47" s="12" t="s">
        <v>460</v>
      </c>
      <c r="W47" s="10">
        <v>1</v>
      </c>
      <c r="Z47" s="12" t="s">
        <v>462</v>
      </c>
      <c r="AA47" s="10">
        <v>1</v>
      </c>
      <c r="AC47" s="12">
        <v>78</v>
      </c>
      <c r="AD47" s="13">
        <v>24</v>
      </c>
    </row>
    <row r="48" spans="4:30">
      <c r="D48" s="14" t="s">
        <v>479</v>
      </c>
      <c r="E48" s="10">
        <v>69</v>
      </c>
      <c r="F48" s="10">
        <v>17</v>
      </c>
      <c r="H48" s="10"/>
      <c r="I48" s="10"/>
      <c r="K48" s="14" t="s">
        <v>401</v>
      </c>
      <c r="Q48" s="12" t="s">
        <v>434</v>
      </c>
      <c r="R48" s="10">
        <v>16</v>
      </c>
      <c r="S48" s="10">
        <v>42</v>
      </c>
      <c r="V48" s="12" t="s">
        <v>464</v>
      </c>
      <c r="W48" s="10">
        <v>1</v>
      </c>
      <c r="Z48" s="12" t="s">
        <v>467</v>
      </c>
      <c r="AA48" s="10">
        <v>1</v>
      </c>
      <c r="AC48" s="12">
        <v>14</v>
      </c>
      <c r="AD48" s="13">
        <v>24</v>
      </c>
    </row>
    <row r="49" spans="4:30">
      <c r="D49" s="14" t="s">
        <v>480</v>
      </c>
      <c r="E49" s="10">
        <v>53</v>
      </c>
      <c r="F49" s="10">
        <v>16</v>
      </c>
      <c r="H49" s="10"/>
      <c r="I49" s="10"/>
      <c r="K49" s="14" t="s">
        <v>405</v>
      </c>
      <c r="Q49" s="12" t="s">
        <v>405</v>
      </c>
      <c r="R49" s="10">
        <v>16</v>
      </c>
      <c r="S49" s="10">
        <v>49</v>
      </c>
      <c r="V49" s="12" t="s">
        <v>469</v>
      </c>
      <c r="W49" s="10">
        <v>1</v>
      </c>
      <c r="Z49" s="12" t="s">
        <v>470</v>
      </c>
      <c r="AA49" s="10">
        <v>1</v>
      </c>
      <c r="AC49" s="12">
        <v>3</v>
      </c>
      <c r="AD49" s="13">
        <v>24</v>
      </c>
    </row>
    <row r="50" spans="4:30">
      <c r="D50" s="14" t="s">
        <v>482</v>
      </c>
      <c r="E50" s="10">
        <v>39</v>
      </c>
      <c r="F50" s="10">
        <v>16</v>
      </c>
      <c r="H50" s="10"/>
      <c r="I50" s="10"/>
      <c r="K50" s="14" t="s">
        <v>418</v>
      </c>
      <c r="Q50" s="12" t="s">
        <v>400</v>
      </c>
      <c r="R50" s="10">
        <v>16</v>
      </c>
      <c r="S50" s="10">
        <v>52</v>
      </c>
      <c r="V50" s="12" t="s">
        <v>473</v>
      </c>
      <c r="W50" s="10">
        <v>1</v>
      </c>
      <c r="Z50" s="12" t="s">
        <v>475</v>
      </c>
      <c r="AA50" s="10">
        <v>1</v>
      </c>
      <c r="AC50" s="12">
        <v>6</v>
      </c>
      <c r="AD50" s="13">
        <v>24</v>
      </c>
    </row>
    <row r="51" spans="4:30">
      <c r="D51" s="14" t="s">
        <v>485</v>
      </c>
      <c r="E51" s="10">
        <v>36</v>
      </c>
      <c r="F51" s="10">
        <v>16</v>
      </c>
      <c r="H51" s="10"/>
      <c r="I51" s="10"/>
      <c r="K51" s="14" t="s">
        <v>419</v>
      </c>
      <c r="Q51" s="12" t="s">
        <v>464</v>
      </c>
      <c r="R51" s="10">
        <v>16</v>
      </c>
      <c r="S51" s="10">
        <v>41</v>
      </c>
      <c r="V51" s="12" t="s">
        <v>477</v>
      </c>
      <c r="W51" s="10">
        <v>1</v>
      </c>
      <c r="Z51" s="12" t="s">
        <v>484</v>
      </c>
      <c r="AA51" s="10">
        <v>1</v>
      </c>
      <c r="AC51" s="12">
        <v>16</v>
      </c>
      <c r="AD51" s="13">
        <v>24</v>
      </c>
    </row>
    <row r="52" spans="4:30">
      <c r="D52" s="14" t="s">
        <v>486</v>
      </c>
      <c r="E52" s="10">
        <v>39</v>
      </c>
      <c r="F52" s="10">
        <v>16</v>
      </c>
      <c r="H52" s="10"/>
      <c r="I52" s="10"/>
      <c r="K52" s="14" t="s">
        <v>426</v>
      </c>
      <c r="Q52" s="12" t="s">
        <v>436</v>
      </c>
      <c r="R52" s="10">
        <v>16</v>
      </c>
      <c r="S52" s="10">
        <v>36</v>
      </c>
      <c r="V52" s="12" t="s">
        <v>480</v>
      </c>
      <c r="W52" s="10">
        <v>1</v>
      </c>
      <c r="Z52" s="12" t="s">
        <v>496</v>
      </c>
      <c r="AA52" s="10">
        <v>1</v>
      </c>
      <c r="AC52" s="12">
        <v>83</v>
      </c>
      <c r="AD52" s="13">
        <v>24</v>
      </c>
    </row>
    <row r="53" spans="4:30">
      <c r="D53" s="14" t="s">
        <v>487</v>
      </c>
      <c r="E53" s="10">
        <v>47</v>
      </c>
      <c r="F53" s="10">
        <v>16</v>
      </c>
      <c r="H53" s="10"/>
      <c r="I53" s="10"/>
      <c r="K53" s="14" t="s">
        <v>431</v>
      </c>
      <c r="Q53" s="12" t="s">
        <v>471</v>
      </c>
      <c r="R53" s="10">
        <v>16</v>
      </c>
      <c r="S53" s="10">
        <v>38</v>
      </c>
      <c r="V53" s="12" t="s">
        <v>482</v>
      </c>
      <c r="W53" s="10">
        <v>1</v>
      </c>
      <c r="Z53" s="12" t="s">
        <v>393</v>
      </c>
      <c r="AA53" s="10">
        <v>102</v>
      </c>
      <c r="AC53" s="12">
        <v>101</v>
      </c>
      <c r="AD53" s="13">
        <v>22</v>
      </c>
    </row>
    <row r="54" spans="4:30">
      <c r="D54" s="14" t="s">
        <v>488</v>
      </c>
      <c r="E54" s="10">
        <v>39</v>
      </c>
      <c r="F54" s="10">
        <v>16</v>
      </c>
      <c r="H54" s="10"/>
      <c r="I54" s="10"/>
      <c r="K54" s="14" t="s">
        <v>434</v>
      </c>
      <c r="Q54" s="12" t="s">
        <v>401</v>
      </c>
      <c r="R54" s="10">
        <v>16</v>
      </c>
      <c r="S54" s="10">
        <v>41</v>
      </c>
      <c r="V54" s="12" t="s">
        <v>486</v>
      </c>
      <c r="W54" s="10">
        <v>1</v>
      </c>
      <c r="AC54" s="12">
        <v>85</v>
      </c>
      <c r="AD54" s="13">
        <v>22</v>
      </c>
    </row>
    <row r="55" spans="4:30">
      <c r="D55" s="14" t="s">
        <v>489</v>
      </c>
      <c r="E55" s="10">
        <v>48</v>
      </c>
      <c r="F55" s="10">
        <v>16</v>
      </c>
      <c r="H55" s="10"/>
      <c r="I55" s="10"/>
      <c r="K55" s="14" t="s">
        <v>437</v>
      </c>
      <c r="Q55" s="12" t="s">
        <v>474</v>
      </c>
      <c r="R55" s="10">
        <v>16</v>
      </c>
      <c r="S55" s="10">
        <v>46</v>
      </c>
      <c r="V55" s="12" t="s">
        <v>487</v>
      </c>
      <c r="W55" s="10">
        <v>1</v>
      </c>
      <c r="AC55" s="12">
        <v>47</v>
      </c>
      <c r="AD55" s="13">
        <v>22</v>
      </c>
    </row>
    <row r="56" spans="4:30">
      <c r="D56" s="14" t="s">
        <v>490</v>
      </c>
      <c r="E56" s="10">
        <v>46</v>
      </c>
      <c r="F56" s="10">
        <v>16</v>
      </c>
      <c r="H56" s="10"/>
      <c r="I56" s="10"/>
      <c r="K56" s="14" t="s">
        <v>438</v>
      </c>
      <c r="Q56" s="12" t="s">
        <v>438</v>
      </c>
      <c r="R56" s="10">
        <v>16</v>
      </c>
      <c r="S56" s="10">
        <v>43</v>
      </c>
      <c r="V56" s="12" t="s">
        <v>490</v>
      </c>
      <c r="W56" s="10">
        <v>1</v>
      </c>
      <c r="AC56" s="12">
        <v>84</v>
      </c>
      <c r="AD56" s="13">
        <v>22</v>
      </c>
    </row>
    <row r="57" spans="4:30">
      <c r="D57" s="14" t="s">
        <v>492</v>
      </c>
      <c r="E57" s="10">
        <v>52</v>
      </c>
      <c r="F57" s="10">
        <v>16</v>
      </c>
      <c r="H57" s="10"/>
      <c r="I57" s="10"/>
      <c r="K57" s="14" t="s">
        <v>442</v>
      </c>
      <c r="Q57" s="12" t="s">
        <v>477</v>
      </c>
      <c r="R57" s="10">
        <v>16</v>
      </c>
      <c r="S57" s="10">
        <v>45</v>
      </c>
      <c r="V57" s="12" t="s">
        <v>492</v>
      </c>
      <c r="W57" s="10">
        <v>1</v>
      </c>
      <c r="AC57" s="12">
        <v>51</v>
      </c>
      <c r="AD57" s="13">
        <v>22</v>
      </c>
    </row>
    <row r="58" spans="4:30">
      <c r="D58" s="14" t="s">
        <v>495</v>
      </c>
      <c r="E58" s="10">
        <v>54</v>
      </c>
      <c r="F58" s="10">
        <v>16</v>
      </c>
      <c r="H58" s="10"/>
      <c r="I58" s="10"/>
      <c r="K58" s="14" t="s">
        <v>446</v>
      </c>
      <c r="Q58" s="12" t="s">
        <v>496</v>
      </c>
      <c r="R58" s="10">
        <v>16</v>
      </c>
      <c r="S58" s="10">
        <v>42</v>
      </c>
      <c r="V58" s="12" t="s">
        <v>495</v>
      </c>
      <c r="W58" s="10">
        <v>1</v>
      </c>
      <c r="AC58" s="12">
        <v>79</v>
      </c>
      <c r="AD58" s="13">
        <v>0</v>
      </c>
    </row>
    <row r="59" spans="4:30">
      <c r="D59" s="12" t="s">
        <v>501</v>
      </c>
      <c r="E59" s="10">
        <v>2328</v>
      </c>
      <c r="F59" s="10">
        <v>762</v>
      </c>
      <c r="H59" s="10"/>
      <c r="I59" s="10"/>
      <c r="K59" s="14" t="s">
        <v>449</v>
      </c>
      <c r="Q59" s="12" t="s">
        <v>415</v>
      </c>
      <c r="R59" s="10">
        <v>16</v>
      </c>
      <c r="S59" s="10">
        <v>37</v>
      </c>
      <c r="V59" s="12" t="s">
        <v>393</v>
      </c>
      <c r="W59" s="10">
        <v>102</v>
      </c>
      <c r="AC59" s="12">
        <v>95</v>
      </c>
      <c r="AD59" s="13">
        <v>0</v>
      </c>
    </row>
    <row r="60" spans="4:30">
      <c r="D60" s="14" t="s">
        <v>398</v>
      </c>
      <c r="E60" s="10">
        <v>54</v>
      </c>
      <c r="F60" s="10">
        <v>15</v>
      </c>
      <c r="H60" s="10"/>
      <c r="I60" s="10"/>
      <c r="K60" s="14" t="s">
        <v>451</v>
      </c>
      <c r="Q60" s="12" t="s">
        <v>440</v>
      </c>
      <c r="R60" s="10">
        <v>16</v>
      </c>
      <c r="S60" s="10">
        <v>37</v>
      </c>
      <c r="AC60" s="12">
        <v>42</v>
      </c>
      <c r="AD60" s="13">
        <v>0</v>
      </c>
    </row>
    <row r="61" spans="4:30">
      <c r="D61" s="14" t="s">
        <v>399</v>
      </c>
      <c r="E61" s="10">
        <v>69</v>
      </c>
      <c r="F61" s="10">
        <v>17</v>
      </c>
      <c r="H61" s="10"/>
      <c r="I61" s="10"/>
      <c r="K61" s="14" t="s">
        <v>455</v>
      </c>
      <c r="Q61" s="12" t="s">
        <v>416</v>
      </c>
      <c r="R61" s="10">
        <v>16</v>
      </c>
      <c r="S61" s="10">
        <v>54</v>
      </c>
      <c r="AC61" s="12">
        <v>11</v>
      </c>
      <c r="AD61" s="13">
        <v>0</v>
      </c>
    </row>
    <row r="62" spans="4:30">
      <c r="D62" s="14" t="s">
        <v>400</v>
      </c>
      <c r="E62" s="10">
        <v>52</v>
      </c>
      <c r="F62" s="10">
        <v>16</v>
      </c>
      <c r="H62" s="10"/>
      <c r="I62" s="10"/>
      <c r="K62" s="14" t="s">
        <v>459</v>
      </c>
      <c r="Q62" s="12" t="s">
        <v>402</v>
      </c>
      <c r="R62" s="10">
        <v>16</v>
      </c>
      <c r="S62" s="10">
        <v>37</v>
      </c>
      <c r="AC62" s="12">
        <v>48</v>
      </c>
      <c r="AD62" s="13">
        <v>0</v>
      </c>
    </row>
    <row r="63" spans="4:30">
      <c r="D63" s="14" t="s">
        <v>401</v>
      </c>
      <c r="E63" s="10">
        <v>41</v>
      </c>
      <c r="F63" s="10">
        <v>16</v>
      </c>
      <c r="H63" s="10"/>
      <c r="I63" s="10"/>
      <c r="K63" s="14" t="s">
        <v>463</v>
      </c>
      <c r="Q63" s="12" t="s">
        <v>483</v>
      </c>
      <c r="R63" s="10">
        <v>16</v>
      </c>
      <c r="S63" s="10">
        <v>46</v>
      </c>
      <c r="AC63" s="12">
        <v>50</v>
      </c>
      <c r="AD63" s="13">
        <v>0</v>
      </c>
    </row>
    <row r="64" spans="4:30">
      <c r="D64" s="14" t="s">
        <v>402</v>
      </c>
      <c r="E64" s="10">
        <v>37</v>
      </c>
      <c r="F64" s="10">
        <v>16</v>
      </c>
      <c r="H64" s="10"/>
      <c r="I64" s="10"/>
      <c r="K64" s="14" t="s">
        <v>464</v>
      </c>
      <c r="Q64" s="12" t="s">
        <v>442</v>
      </c>
      <c r="R64" s="10">
        <v>16</v>
      </c>
      <c r="S64" s="10">
        <v>42</v>
      </c>
      <c r="AC64" s="12">
        <v>38</v>
      </c>
      <c r="AD64" s="13">
        <v>0</v>
      </c>
    </row>
    <row r="65" spans="4:30">
      <c r="D65" s="14" t="s">
        <v>404</v>
      </c>
      <c r="E65" s="10">
        <v>39</v>
      </c>
      <c r="F65" s="10">
        <v>16</v>
      </c>
      <c r="H65" s="10"/>
      <c r="I65" s="10"/>
      <c r="K65" s="14" t="s">
        <v>465</v>
      </c>
      <c r="Q65" s="12" t="s">
        <v>485</v>
      </c>
      <c r="R65" s="10">
        <v>16</v>
      </c>
      <c r="S65" s="10">
        <v>36</v>
      </c>
      <c r="AC65" s="12">
        <v>1</v>
      </c>
      <c r="AD65" s="13">
        <v>0</v>
      </c>
    </row>
    <row r="66" spans="4:30">
      <c r="D66" s="14" t="s">
        <v>406</v>
      </c>
      <c r="E66" s="10">
        <v>37</v>
      </c>
      <c r="F66" s="10">
        <v>16</v>
      </c>
      <c r="H66" s="10"/>
      <c r="I66" s="10"/>
      <c r="K66" s="14" t="s">
        <v>466</v>
      </c>
      <c r="Q66" s="12" t="s">
        <v>443</v>
      </c>
      <c r="R66" s="10">
        <v>16</v>
      </c>
      <c r="S66" s="10">
        <v>38</v>
      </c>
      <c r="AC66" s="12">
        <v>91</v>
      </c>
      <c r="AD66" s="13">
        <v>0</v>
      </c>
    </row>
    <row r="67" spans="4:30">
      <c r="D67" s="14" t="s">
        <v>409</v>
      </c>
      <c r="E67" s="10">
        <v>69</v>
      </c>
      <c r="F67" s="10">
        <v>17</v>
      </c>
      <c r="H67" s="10"/>
      <c r="I67" s="10"/>
      <c r="K67" s="14" t="s">
        <v>474</v>
      </c>
      <c r="Q67" s="12" t="s">
        <v>487</v>
      </c>
      <c r="R67" s="10">
        <v>16</v>
      </c>
      <c r="S67" s="10">
        <v>47</v>
      </c>
      <c r="AC67" s="12">
        <v>52</v>
      </c>
      <c r="AD67" s="13">
        <v>0</v>
      </c>
    </row>
    <row r="68" spans="4:30">
      <c r="D68" s="14" t="s">
        <v>410</v>
      </c>
      <c r="E68" s="10">
        <v>69</v>
      </c>
      <c r="F68" s="10">
        <v>17</v>
      </c>
      <c r="H68" s="10"/>
      <c r="I68" s="10"/>
      <c r="K68" s="14" t="s">
        <v>476</v>
      </c>
      <c r="Q68" s="12" t="s">
        <v>444</v>
      </c>
      <c r="R68" s="10">
        <v>16</v>
      </c>
      <c r="S68" s="10">
        <v>39</v>
      </c>
      <c r="AC68" s="12">
        <v>45</v>
      </c>
      <c r="AD68" s="13">
        <v>0</v>
      </c>
    </row>
    <row r="69" spans="4:30">
      <c r="D69" s="14" t="s">
        <v>412</v>
      </c>
      <c r="E69" s="10">
        <v>69</v>
      </c>
      <c r="F69" s="10">
        <v>17</v>
      </c>
      <c r="H69" s="10"/>
      <c r="I69" s="10"/>
      <c r="K69" s="14" t="s">
        <v>477</v>
      </c>
      <c r="Q69" s="12" t="s">
        <v>489</v>
      </c>
      <c r="R69" s="10">
        <v>16</v>
      </c>
      <c r="S69" s="10">
        <v>48</v>
      </c>
      <c r="AC69" s="12">
        <v>53</v>
      </c>
      <c r="AD69" s="13">
        <v>0</v>
      </c>
    </row>
    <row r="70" spans="4:30">
      <c r="D70" s="14" t="s">
        <v>414</v>
      </c>
      <c r="E70" s="10">
        <v>69</v>
      </c>
      <c r="F70" s="10">
        <v>17</v>
      </c>
      <c r="H70" s="10"/>
      <c r="I70" s="10"/>
      <c r="K70" s="14" t="s">
        <v>478</v>
      </c>
      <c r="Q70" s="12" t="s">
        <v>395</v>
      </c>
      <c r="R70" s="10">
        <v>16</v>
      </c>
      <c r="S70" s="10">
        <v>41</v>
      </c>
      <c r="AC70" s="12">
        <v>77</v>
      </c>
      <c r="AD70" s="13">
        <v>0</v>
      </c>
    </row>
    <row r="71" spans="4:30">
      <c r="D71" s="14" t="s">
        <v>415</v>
      </c>
      <c r="E71" s="10">
        <v>37</v>
      </c>
      <c r="F71" s="10">
        <v>16</v>
      </c>
      <c r="H71" s="10"/>
      <c r="I71" s="10"/>
      <c r="K71" s="14" t="s">
        <v>483</v>
      </c>
      <c r="Q71" s="12" t="s">
        <v>491</v>
      </c>
      <c r="R71" s="10">
        <v>16</v>
      </c>
      <c r="S71" s="10">
        <v>48</v>
      </c>
      <c r="AC71" s="12">
        <v>54</v>
      </c>
      <c r="AD71" s="13">
        <v>0</v>
      </c>
    </row>
    <row r="72" spans="4:30">
      <c r="D72" s="14" t="s">
        <v>420</v>
      </c>
      <c r="E72" s="10">
        <v>36</v>
      </c>
      <c r="F72" s="10">
        <v>16</v>
      </c>
      <c r="H72" s="10"/>
      <c r="I72" s="10"/>
      <c r="K72" s="14" t="s">
        <v>487</v>
      </c>
      <c r="Q72" s="12" t="s">
        <v>446</v>
      </c>
      <c r="R72" s="10">
        <v>16</v>
      </c>
      <c r="S72" s="10">
        <v>46</v>
      </c>
      <c r="AC72" s="12">
        <v>8</v>
      </c>
      <c r="AD72" s="13">
        <v>0</v>
      </c>
    </row>
    <row r="73" spans="4:30">
      <c r="D73" s="14" t="s">
        <v>423</v>
      </c>
      <c r="E73" s="10">
        <v>52</v>
      </c>
      <c r="F73" s="10">
        <v>15</v>
      </c>
      <c r="H73" s="10"/>
      <c r="I73" s="10"/>
      <c r="K73" s="14" t="s">
        <v>489</v>
      </c>
      <c r="Q73" s="12" t="s">
        <v>493</v>
      </c>
      <c r="R73" s="10">
        <v>16</v>
      </c>
      <c r="S73" s="10">
        <v>38</v>
      </c>
      <c r="AC73" s="12">
        <v>55</v>
      </c>
      <c r="AD73" s="13">
        <v>0</v>
      </c>
    </row>
    <row r="74" spans="4:30">
      <c r="D74" s="14" t="s">
        <v>424</v>
      </c>
      <c r="E74" s="10">
        <v>55</v>
      </c>
      <c r="F74" s="10">
        <v>15</v>
      </c>
      <c r="H74" s="10"/>
      <c r="I74" s="10"/>
      <c r="K74" s="14" t="s">
        <v>490</v>
      </c>
      <c r="Q74" s="12" t="s">
        <v>449</v>
      </c>
      <c r="R74" s="10">
        <v>16</v>
      </c>
      <c r="S74" s="10">
        <v>41</v>
      </c>
      <c r="AC74" s="12">
        <v>40</v>
      </c>
      <c r="AD74" s="13">
        <v>0</v>
      </c>
    </row>
    <row r="75" spans="4:30">
      <c r="D75" s="14" t="s">
        <v>426</v>
      </c>
      <c r="E75" s="10">
        <v>49</v>
      </c>
      <c r="F75" s="10">
        <v>16</v>
      </c>
      <c r="H75" s="10"/>
      <c r="I75" s="10"/>
      <c r="K75" s="14" t="s">
        <v>491</v>
      </c>
      <c r="Q75" s="12" t="s">
        <v>495</v>
      </c>
      <c r="R75" s="10">
        <v>16</v>
      </c>
      <c r="S75" s="10">
        <v>54</v>
      </c>
      <c r="AC75" s="12">
        <v>56</v>
      </c>
      <c r="AD75" s="13">
        <v>0</v>
      </c>
    </row>
    <row r="76" spans="4:30">
      <c r="D76" s="14" t="s">
        <v>428</v>
      </c>
      <c r="E76" s="10">
        <v>34</v>
      </c>
      <c r="F76" s="10">
        <v>16</v>
      </c>
      <c r="H76" s="10"/>
      <c r="I76" s="10"/>
      <c r="K76" s="14" t="s">
        <v>494</v>
      </c>
      <c r="Q76" s="12" t="s">
        <v>403</v>
      </c>
      <c r="R76" s="10">
        <v>16</v>
      </c>
      <c r="S76" s="10">
        <v>35</v>
      </c>
      <c r="AC76" s="12">
        <v>89</v>
      </c>
      <c r="AD76" s="13">
        <v>0</v>
      </c>
    </row>
    <row r="77" spans="4:30">
      <c r="D77" s="14" t="s">
        <v>433</v>
      </c>
      <c r="E77" s="10">
        <v>54</v>
      </c>
      <c r="F77" s="10">
        <v>17</v>
      </c>
      <c r="H77" s="10"/>
      <c r="I77" s="10"/>
      <c r="K77" s="14" t="s">
        <v>496</v>
      </c>
      <c r="Q77" s="12" t="s">
        <v>404</v>
      </c>
      <c r="R77" s="10">
        <v>16</v>
      </c>
      <c r="S77" s="10">
        <v>39</v>
      </c>
      <c r="AC77" s="12">
        <v>22</v>
      </c>
      <c r="AD77" s="13">
        <v>0</v>
      </c>
    </row>
    <row r="78" spans="4:30">
      <c r="D78" s="14" t="s">
        <v>434</v>
      </c>
      <c r="E78" s="10">
        <v>42</v>
      </c>
      <c r="F78" s="10">
        <v>16</v>
      </c>
      <c r="H78" s="10"/>
      <c r="I78" s="10"/>
      <c r="K78" s="12" t="s">
        <v>390</v>
      </c>
      <c r="Q78" s="12" t="s">
        <v>445</v>
      </c>
      <c r="R78" s="10">
        <v>16</v>
      </c>
      <c r="S78" s="10">
        <v>38</v>
      </c>
      <c r="AC78" s="12">
        <v>93</v>
      </c>
      <c r="AD78" s="13">
        <v>0</v>
      </c>
    </row>
    <row r="79" spans="4:30">
      <c r="D79" s="14" t="s">
        <v>436</v>
      </c>
      <c r="E79" s="10">
        <v>36</v>
      </c>
      <c r="F79" s="10">
        <v>16</v>
      </c>
      <c r="H79" s="10"/>
      <c r="I79" s="10"/>
      <c r="K79" s="14" t="s">
        <v>397</v>
      </c>
      <c r="Q79" s="12" t="s">
        <v>427</v>
      </c>
      <c r="R79" s="10">
        <v>15</v>
      </c>
      <c r="S79" s="10">
        <v>54</v>
      </c>
      <c r="AC79" s="12">
        <v>23</v>
      </c>
      <c r="AD79" s="13">
        <v>0</v>
      </c>
    </row>
    <row r="80" spans="4:30">
      <c r="D80" s="14" t="s">
        <v>438</v>
      </c>
      <c r="E80" s="10">
        <v>43</v>
      </c>
      <c r="F80" s="10">
        <v>16</v>
      </c>
      <c r="H80" s="10"/>
      <c r="I80" s="10"/>
      <c r="K80" s="14" t="s">
        <v>398</v>
      </c>
      <c r="Q80" s="12" t="s">
        <v>457</v>
      </c>
      <c r="R80" s="10">
        <v>15</v>
      </c>
      <c r="S80" s="10">
        <v>73</v>
      </c>
      <c r="AC80" s="12">
        <v>44</v>
      </c>
      <c r="AD80" s="13">
        <v>0</v>
      </c>
    </row>
    <row r="81" spans="4:30">
      <c r="D81" s="14" t="s">
        <v>439</v>
      </c>
      <c r="E81" s="10">
        <v>73</v>
      </c>
      <c r="F81" s="10">
        <v>17</v>
      </c>
      <c r="H81" s="10"/>
      <c r="I81" s="10"/>
      <c r="K81" s="14" t="s">
        <v>400</v>
      </c>
      <c r="Q81" s="12" t="s">
        <v>469</v>
      </c>
      <c r="R81" s="10">
        <v>15</v>
      </c>
      <c r="S81" s="10">
        <v>39</v>
      </c>
      <c r="AC81" s="12">
        <v>24</v>
      </c>
      <c r="AD81" s="13">
        <v>0</v>
      </c>
    </row>
    <row r="82" spans="4:30">
      <c r="D82" s="14" t="s">
        <v>441</v>
      </c>
      <c r="E82" s="10">
        <v>66</v>
      </c>
      <c r="F82" s="10">
        <v>17</v>
      </c>
      <c r="H82" s="10"/>
      <c r="I82" s="10"/>
      <c r="K82" s="14" t="s">
        <v>416</v>
      </c>
      <c r="Q82" s="12" t="s">
        <v>422</v>
      </c>
      <c r="R82" s="10">
        <v>15</v>
      </c>
      <c r="S82" s="10">
        <v>70</v>
      </c>
      <c r="AC82" s="12">
        <v>20</v>
      </c>
      <c r="AD82" s="13">
        <v>0</v>
      </c>
    </row>
    <row r="83" spans="4:30">
      <c r="D83" s="14" t="s">
        <v>444</v>
      </c>
      <c r="E83" s="10">
        <v>39</v>
      </c>
      <c r="F83" s="10">
        <v>16</v>
      </c>
      <c r="H83" s="10"/>
      <c r="I83" s="10"/>
      <c r="K83" s="14" t="s">
        <v>423</v>
      </c>
      <c r="Q83" s="12" t="s">
        <v>460</v>
      </c>
      <c r="R83" s="10">
        <v>15</v>
      </c>
      <c r="S83" s="10">
        <v>54</v>
      </c>
      <c r="AC83" s="12">
        <v>2</v>
      </c>
      <c r="AD83" s="13">
        <v>0</v>
      </c>
    </row>
    <row r="84" spans="4:30">
      <c r="D84" s="14" t="s">
        <v>447</v>
      </c>
      <c r="E84" s="10">
        <v>58</v>
      </c>
      <c r="F84" s="10">
        <v>15</v>
      </c>
      <c r="H84" s="10"/>
      <c r="I84" s="10"/>
      <c r="K84" s="14" t="s">
        <v>424</v>
      </c>
      <c r="Q84" s="12" t="s">
        <v>447</v>
      </c>
      <c r="R84" s="10">
        <v>15</v>
      </c>
      <c r="S84" s="10">
        <v>58</v>
      </c>
      <c r="AC84" s="12">
        <v>76</v>
      </c>
      <c r="AD84" s="13">
        <v>0</v>
      </c>
    </row>
    <row r="85" spans="4:30">
      <c r="D85" s="14" t="s">
        <v>449</v>
      </c>
      <c r="E85" s="10">
        <v>41</v>
      </c>
      <c r="F85" s="10">
        <v>16</v>
      </c>
      <c r="H85" s="10"/>
      <c r="I85" s="10"/>
      <c r="K85" s="14" t="s">
        <v>425</v>
      </c>
      <c r="Q85" s="12" t="s">
        <v>467</v>
      </c>
      <c r="R85" s="10">
        <v>15</v>
      </c>
      <c r="S85" s="10">
        <v>58</v>
      </c>
      <c r="AC85" s="12">
        <v>61</v>
      </c>
      <c r="AD85" s="13">
        <v>0</v>
      </c>
    </row>
    <row r="86" spans="4:30">
      <c r="D86" s="14" t="s">
        <v>450</v>
      </c>
      <c r="E86" s="10">
        <v>54</v>
      </c>
      <c r="F86" s="10">
        <v>15</v>
      </c>
      <c r="H86" s="10"/>
      <c r="I86" s="10"/>
      <c r="K86" s="14" t="s">
        <v>427</v>
      </c>
      <c r="Q86" s="12" t="s">
        <v>473</v>
      </c>
      <c r="R86" s="10">
        <v>15</v>
      </c>
      <c r="S86" s="10">
        <v>39</v>
      </c>
      <c r="AC86" s="12">
        <v>35</v>
      </c>
      <c r="AD86" s="13">
        <v>0</v>
      </c>
    </row>
    <row r="87" spans="4:30">
      <c r="D87" s="14" t="s">
        <v>451</v>
      </c>
      <c r="E87" s="10">
        <v>47</v>
      </c>
      <c r="F87" s="10">
        <v>14</v>
      </c>
      <c r="H87" s="10"/>
      <c r="I87" s="10"/>
      <c r="K87" s="14" t="s">
        <v>432</v>
      </c>
      <c r="Q87" s="12" t="s">
        <v>470</v>
      </c>
      <c r="R87" s="10">
        <v>15</v>
      </c>
      <c r="S87" s="10">
        <v>39</v>
      </c>
      <c r="AC87" s="12">
        <v>13</v>
      </c>
      <c r="AD87" s="13">
        <v>0</v>
      </c>
    </row>
    <row r="88" spans="4:30">
      <c r="D88" s="14" t="s">
        <v>455</v>
      </c>
      <c r="E88" s="10">
        <v>46</v>
      </c>
      <c r="F88" s="10">
        <v>14</v>
      </c>
      <c r="H88" s="10"/>
      <c r="I88" s="10"/>
      <c r="K88" s="14" t="s">
        <v>433</v>
      </c>
      <c r="Q88" s="12" t="s">
        <v>448</v>
      </c>
      <c r="R88" s="10">
        <v>15</v>
      </c>
      <c r="S88" s="10">
        <v>54</v>
      </c>
      <c r="AC88" s="12">
        <v>80</v>
      </c>
      <c r="AD88" s="13">
        <v>0</v>
      </c>
    </row>
    <row r="89" spans="4:30">
      <c r="D89" s="14" t="s">
        <v>456</v>
      </c>
      <c r="E89" s="10">
        <v>51</v>
      </c>
      <c r="F89" s="10">
        <v>15</v>
      </c>
      <c r="H89" s="10"/>
      <c r="I89" s="10"/>
      <c r="K89" s="14" t="s">
        <v>435</v>
      </c>
      <c r="Q89" s="12" t="s">
        <v>425</v>
      </c>
      <c r="R89" s="10">
        <v>15</v>
      </c>
      <c r="S89" s="10">
        <v>55</v>
      </c>
      <c r="AC89" s="12">
        <v>63</v>
      </c>
      <c r="AD89" s="13">
        <v>0</v>
      </c>
    </row>
    <row r="90" spans="4:30">
      <c r="D90" s="14" t="s">
        <v>458</v>
      </c>
      <c r="E90" s="10">
        <v>64</v>
      </c>
      <c r="F90" s="10">
        <v>14</v>
      </c>
      <c r="H90" s="10"/>
      <c r="I90" s="10"/>
      <c r="K90" s="14" t="s">
        <v>447</v>
      </c>
      <c r="Q90" s="12" t="s">
        <v>475</v>
      </c>
      <c r="R90" s="10">
        <v>15</v>
      </c>
      <c r="S90" s="10">
        <v>39</v>
      </c>
      <c r="AC90" s="12">
        <v>37</v>
      </c>
      <c r="AD90" s="13">
        <v>0</v>
      </c>
    </row>
    <row r="91" spans="4:30">
      <c r="D91" s="14" t="s">
        <v>461</v>
      </c>
      <c r="E91" s="10">
        <v>38</v>
      </c>
      <c r="F91" s="10">
        <v>18</v>
      </c>
      <c r="H91" s="10"/>
      <c r="I91" s="10"/>
      <c r="K91" s="14" t="s">
        <v>448</v>
      </c>
      <c r="Q91" s="12" t="s">
        <v>413</v>
      </c>
      <c r="R91" s="10">
        <v>15</v>
      </c>
      <c r="S91" s="10">
        <v>39</v>
      </c>
      <c r="AC91" s="12">
        <v>64</v>
      </c>
      <c r="AD91" s="13">
        <v>0</v>
      </c>
    </row>
    <row r="92" spans="4:30">
      <c r="D92" s="14" t="s">
        <v>462</v>
      </c>
      <c r="E92" s="10">
        <v>53</v>
      </c>
      <c r="F92" s="10">
        <v>16</v>
      </c>
      <c r="H92" s="10"/>
      <c r="I92" s="10"/>
      <c r="K92" s="14" t="s">
        <v>450</v>
      </c>
      <c r="Q92" s="12" t="s">
        <v>423</v>
      </c>
      <c r="R92" s="10">
        <v>15</v>
      </c>
      <c r="S92" s="10">
        <v>52</v>
      </c>
      <c r="AC92" s="12">
        <v>9</v>
      </c>
      <c r="AD92" s="13">
        <v>0</v>
      </c>
    </row>
    <row r="93" spans="4:30">
      <c r="D93" s="14" t="s">
        <v>463</v>
      </c>
      <c r="E93" s="10">
        <v>47</v>
      </c>
      <c r="F93" s="10">
        <v>14</v>
      </c>
      <c r="H93" s="10"/>
      <c r="I93" s="10"/>
      <c r="K93" s="14" t="s">
        <v>453</v>
      </c>
      <c r="Q93" s="12" t="s">
        <v>397</v>
      </c>
      <c r="R93" s="10">
        <v>15</v>
      </c>
      <c r="S93" s="10">
        <v>58</v>
      </c>
      <c r="AC93" s="12">
        <v>27</v>
      </c>
      <c r="AD93" s="13">
        <v>0</v>
      </c>
    </row>
    <row r="94" spans="4:30">
      <c r="D94" s="14" t="s">
        <v>465</v>
      </c>
      <c r="E94" s="10">
        <v>47</v>
      </c>
      <c r="F94" s="10">
        <v>14</v>
      </c>
      <c r="H94" s="10"/>
      <c r="I94" s="10"/>
      <c r="K94" s="14" t="s">
        <v>456</v>
      </c>
      <c r="Q94" s="12" t="s">
        <v>450</v>
      </c>
      <c r="R94" s="10">
        <v>15</v>
      </c>
      <c r="S94" s="10">
        <v>54</v>
      </c>
      <c r="AC94" s="12">
        <v>10</v>
      </c>
      <c r="AD94" s="13">
        <v>0</v>
      </c>
    </row>
    <row r="95" spans="4:30">
      <c r="D95" s="14" t="s">
        <v>467</v>
      </c>
      <c r="E95" s="10">
        <v>58</v>
      </c>
      <c r="F95" s="10">
        <v>15</v>
      </c>
      <c r="H95" s="10"/>
      <c r="I95" s="10"/>
      <c r="K95" s="14" t="s">
        <v>460</v>
      </c>
      <c r="Q95" s="12" t="s">
        <v>398</v>
      </c>
      <c r="R95" s="10">
        <v>15</v>
      </c>
      <c r="S95" s="10">
        <v>54</v>
      </c>
      <c r="AC95" s="12">
        <v>5</v>
      </c>
      <c r="AD95" s="13">
        <v>0</v>
      </c>
    </row>
    <row r="96" spans="4:30">
      <c r="D96" s="14" t="s">
        <v>470</v>
      </c>
      <c r="E96" s="10">
        <v>39</v>
      </c>
      <c r="F96" s="10">
        <v>15</v>
      </c>
      <c r="H96" s="10"/>
      <c r="I96" s="10"/>
      <c r="K96" s="14" t="s">
        <v>462</v>
      </c>
      <c r="Q96" s="12" t="s">
        <v>424</v>
      </c>
      <c r="R96" s="10">
        <v>15</v>
      </c>
      <c r="S96" s="10">
        <v>55</v>
      </c>
      <c r="AC96" s="12">
        <v>88</v>
      </c>
      <c r="AD96" s="13">
        <v>0</v>
      </c>
    </row>
    <row r="97" spans="4:30">
      <c r="D97" s="14" t="s">
        <v>474</v>
      </c>
      <c r="E97" s="10">
        <v>46</v>
      </c>
      <c r="F97" s="10">
        <v>16</v>
      </c>
      <c r="H97" s="10"/>
      <c r="I97" s="10"/>
      <c r="K97" s="14" t="s">
        <v>467</v>
      </c>
      <c r="Q97" s="12" t="s">
        <v>453</v>
      </c>
      <c r="R97" s="10">
        <v>15</v>
      </c>
      <c r="S97" s="10">
        <v>52</v>
      </c>
      <c r="AC97" s="12">
        <v>29</v>
      </c>
      <c r="AD97" s="13">
        <v>0</v>
      </c>
    </row>
    <row r="98" spans="4:30">
      <c r="D98" s="14" t="s">
        <v>475</v>
      </c>
      <c r="E98" s="10">
        <v>39</v>
      </c>
      <c r="F98" s="10">
        <v>15</v>
      </c>
      <c r="H98" s="10"/>
      <c r="I98" s="10"/>
      <c r="K98" s="14" t="s">
        <v>480</v>
      </c>
      <c r="Q98" s="12" t="s">
        <v>456</v>
      </c>
      <c r="R98" s="10">
        <v>15</v>
      </c>
      <c r="S98" s="10">
        <v>51</v>
      </c>
      <c r="AC98" s="12">
        <v>90</v>
      </c>
      <c r="AD98" s="13">
        <v>0</v>
      </c>
    </row>
    <row r="99" spans="4:30">
      <c r="D99" s="14" t="s">
        <v>476</v>
      </c>
      <c r="E99" s="10">
        <v>42</v>
      </c>
      <c r="F99" s="10">
        <v>16</v>
      </c>
      <c r="H99" s="10"/>
      <c r="I99" s="10"/>
      <c r="K99" s="14" t="s">
        <v>492</v>
      </c>
      <c r="Q99" s="12" t="s">
        <v>463</v>
      </c>
      <c r="R99" s="10">
        <v>14</v>
      </c>
      <c r="S99" s="10">
        <v>47</v>
      </c>
      <c r="AC99" s="12">
        <v>30</v>
      </c>
      <c r="AD99" s="13">
        <v>0</v>
      </c>
    </row>
    <row r="100" spans="4:30">
      <c r="D100" s="14" t="s">
        <v>478</v>
      </c>
      <c r="E100" s="10">
        <v>43</v>
      </c>
      <c r="F100" s="10">
        <v>16</v>
      </c>
      <c r="H100" s="10"/>
      <c r="I100" s="10"/>
      <c r="K100" s="14" t="s">
        <v>495</v>
      </c>
      <c r="Q100" s="12" t="s">
        <v>454</v>
      </c>
      <c r="R100" s="10">
        <v>14</v>
      </c>
      <c r="S100" s="10">
        <v>36</v>
      </c>
      <c r="AC100" s="12">
        <v>92</v>
      </c>
      <c r="AD100" s="13">
        <v>0</v>
      </c>
    </row>
    <row r="101" spans="4:30">
      <c r="D101" s="14" t="s">
        <v>481</v>
      </c>
      <c r="E101" s="10">
        <v>37</v>
      </c>
      <c r="F101" s="10">
        <v>19</v>
      </c>
      <c r="H101" s="10"/>
      <c r="I101" s="10"/>
      <c r="K101" s="12" t="s">
        <v>391</v>
      </c>
      <c r="Q101" s="12" t="s">
        <v>451</v>
      </c>
      <c r="R101" s="10">
        <v>14</v>
      </c>
      <c r="S101" s="10">
        <v>47</v>
      </c>
      <c r="AC101" s="12">
        <v>69</v>
      </c>
      <c r="AD101" s="13">
        <v>0</v>
      </c>
    </row>
    <row r="102" spans="4:30">
      <c r="D102" s="14" t="s">
        <v>483</v>
      </c>
      <c r="E102" s="10">
        <v>46</v>
      </c>
      <c r="F102" s="10">
        <v>16</v>
      </c>
      <c r="H102" s="10"/>
      <c r="I102" s="10"/>
      <c r="K102" s="14" t="s">
        <v>399</v>
      </c>
      <c r="Q102" s="12" t="s">
        <v>455</v>
      </c>
      <c r="R102" s="10">
        <v>14</v>
      </c>
      <c r="S102" s="10">
        <v>46</v>
      </c>
      <c r="AC102" s="12">
        <v>43</v>
      </c>
      <c r="AD102" s="13">
        <v>0</v>
      </c>
    </row>
    <row r="103" spans="4:30">
      <c r="D103" s="14" t="s">
        <v>484</v>
      </c>
      <c r="E103" s="10">
        <v>35</v>
      </c>
      <c r="F103" s="10">
        <v>16</v>
      </c>
      <c r="H103" s="10"/>
      <c r="I103" s="10"/>
      <c r="K103" s="14" t="s">
        <v>407</v>
      </c>
      <c r="Q103" s="12" t="s">
        <v>458</v>
      </c>
      <c r="R103" s="10">
        <v>14</v>
      </c>
      <c r="S103" s="10">
        <v>64</v>
      </c>
      <c r="AC103" s="12">
        <v>31</v>
      </c>
      <c r="AD103" s="13">
        <v>0</v>
      </c>
    </row>
    <row r="104" spans="4:30">
      <c r="D104" s="14" t="s">
        <v>491</v>
      </c>
      <c r="E104" s="10">
        <v>48</v>
      </c>
      <c r="F104" s="10">
        <v>16</v>
      </c>
      <c r="H104" s="10"/>
      <c r="I104" s="10"/>
      <c r="K104" s="14" t="s">
        <v>408</v>
      </c>
      <c r="Q104" s="12" t="s">
        <v>465</v>
      </c>
      <c r="R104" s="10">
        <v>14</v>
      </c>
      <c r="S104" s="10">
        <v>47</v>
      </c>
      <c r="AC104" s="12">
        <v>96</v>
      </c>
      <c r="AD104" s="13">
        <v>0</v>
      </c>
    </row>
    <row r="105" spans="4:30">
      <c r="D105" s="14" t="s">
        <v>493</v>
      </c>
      <c r="E105" s="10">
        <v>38</v>
      </c>
      <c r="F105" s="10">
        <v>16</v>
      </c>
      <c r="H105" s="10"/>
      <c r="I105" s="10"/>
      <c r="K105" s="14" t="s">
        <v>409</v>
      </c>
      <c r="Q105" s="12" t="s">
        <v>466</v>
      </c>
      <c r="R105" s="10">
        <v>14</v>
      </c>
      <c r="S105" s="10">
        <v>50</v>
      </c>
      <c r="AC105" s="12">
        <v>71</v>
      </c>
      <c r="AD105" s="13">
        <v>0</v>
      </c>
    </row>
    <row r="106" spans="4:30">
      <c r="D106" s="14" t="s">
        <v>494</v>
      </c>
      <c r="E106" s="10">
        <v>48</v>
      </c>
      <c r="F106" s="10">
        <v>16</v>
      </c>
      <c r="H106" s="10"/>
      <c r="I106" s="10"/>
      <c r="K106" s="14" t="s">
        <v>410</v>
      </c>
      <c r="Q106" s="12" t="s">
        <v>393</v>
      </c>
      <c r="R106" s="10">
        <v>1621</v>
      </c>
      <c r="S106" s="10">
        <v>4974</v>
      </c>
      <c r="AC106" s="12">
        <v>98</v>
      </c>
      <c r="AD106" s="13">
        <v>0</v>
      </c>
    </row>
    <row r="107" spans="4:30">
      <c r="D107" s="14" t="s">
        <v>496</v>
      </c>
      <c r="E107" s="10">
        <v>42</v>
      </c>
      <c r="F107" s="10">
        <v>16</v>
      </c>
      <c r="K107" s="14" t="s">
        <v>411</v>
      </c>
      <c r="AC107" s="12">
        <v>32</v>
      </c>
      <c r="AD107" s="13">
        <v>0</v>
      </c>
    </row>
    <row r="108" spans="4:30">
      <c r="D108" s="12" t="s">
        <v>393</v>
      </c>
      <c r="E108" s="10">
        <v>4974</v>
      </c>
      <c r="F108" s="10">
        <v>1621</v>
      </c>
      <c r="K108" s="14" t="s">
        <v>412</v>
      </c>
      <c r="AC108" s="12">
        <v>19</v>
      </c>
      <c r="AD108" s="13">
        <v>0</v>
      </c>
    </row>
    <row r="109" spans="4:30">
      <c r="K109" s="14" t="s">
        <v>414</v>
      </c>
      <c r="AC109" s="12">
        <v>73</v>
      </c>
      <c r="AD109" s="13">
        <v>0</v>
      </c>
    </row>
    <row r="110" spans="4:30">
      <c r="K110" s="14" t="s">
        <v>421</v>
      </c>
      <c r="AC110" s="12">
        <v>102</v>
      </c>
      <c r="AD110" s="13">
        <v>0</v>
      </c>
    </row>
    <row r="111" spans="4:30">
      <c r="K111" s="14" t="s">
        <v>422</v>
      </c>
      <c r="AC111" s="12">
        <v>15</v>
      </c>
      <c r="AD111" s="13">
        <v>0</v>
      </c>
    </row>
    <row r="112" spans="4:30">
      <c r="K112" s="14" t="s">
        <v>441</v>
      </c>
      <c r="AC112" s="12">
        <v>34</v>
      </c>
      <c r="AD112" s="13">
        <v>0</v>
      </c>
    </row>
    <row r="113" spans="11:30">
      <c r="K113" s="14" t="s">
        <v>452</v>
      </c>
      <c r="AC113" s="12" t="s">
        <v>393</v>
      </c>
      <c r="AD113" s="13">
        <v>1869</v>
      </c>
    </row>
    <row r="114" spans="11:30">
      <c r="K114" s="14" t="s">
        <v>458</v>
      </c>
    </row>
    <row r="115" spans="11:30">
      <c r="K115" s="14" t="s">
        <v>472</v>
      </c>
    </row>
    <row r="116" spans="11:30">
      <c r="K116" s="14" t="s">
        <v>479</v>
      </c>
    </row>
    <row r="117" spans="11:30">
      <c r="K117" s="12" t="s">
        <v>392</v>
      </c>
    </row>
    <row r="118" spans="11:30">
      <c r="K118" s="14" t="s">
        <v>439</v>
      </c>
    </row>
    <row r="119" spans="11:30">
      <c r="K119" s="14" t="s">
        <v>457</v>
      </c>
    </row>
    <row r="120" spans="11:30">
      <c r="K120" s="12" t="s">
        <v>393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55" workbookViewId="0">
      <selection activeCell="M26" sqref="M26"/>
    </sheetView>
  </sheetViews>
  <sheetFormatPr defaultRowHeight="14.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92"/>
  <sheetViews>
    <sheetView topLeftCell="M1" workbookViewId="0">
      <selection activeCell="W3" sqref="A1:X104"/>
    </sheetView>
  </sheetViews>
  <sheetFormatPr defaultRowHeight="14.25"/>
  <cols>
    <col min="1" max="1" width="16.25" customWidth="1"/>
    <col min="2" max="2" width="19.5" customWidth="1"/>
    <col min="3" max="3" width="18.25" customWidth="1"/>
    <col min="4" max="4" width="15" customWidth="1"/>
    <col min="5" max="5" width="23.375" customWidth="1"/>
    <col min="6" max="6" width="12.875" customWidth="1"/>
    <col min="7" max="7" width="17.125" customWidth="1"/>
    <col min="8" max="8" width="9.5" customWidth="1"/>
    <col min="9" max="9" width="13.375" customWidth="1"/>
    <col min="10" max="10" width="9.125" customWidth="1"/>
    <col min="11" max="11" width="11.875" customWidth="1"/>
    <col min="12" max="12" width="13.375" customWidth="1"/>
    <col min="13" max="13" width="12" style="5" customWidth="1"/>
    <col min="15" max="16" width="11.375" customWidth="1"/>
    <col min="17" max="17" width="14.75" customWidth="1"/>
    <col min="18" max="18" width="13.625" customWidth="1"/>
    <col min="19" max="21" width="17.25" customWidth="1"/>
    <col min="23" max="23" width="10.625" customWidth="1"/>
  </cols>
  <sheetData>
    <row r="1" spans="1:24" ht="15">
      <c r="E1" t="s">
        <v>376</v>
      </c>
      <c r="F1" s="7"/>
      <c r="G1" s="7"/>
    </row>
    <row r="2" spans="1:24" s="15" customFormat="1">
      <c r="A2" s="15" t="s">
        <v>394</v>
      </c>
      <c r="B2" s="15" t="s">
        <v>378</v>
      </c>
      <c r="C2" s="15" t="s">
        <v>198</v>
      </c>
      <c r="D2" s="15" t="s">
        <v>199</v>
      </c>
      <c r="E2" s="15" t="s">
        <v>0</v>
      </c>
      <c r="F2" s="15" t="s">
        <v>1</v>
      </c>
      <c r="G2" s="15" t="s">
        <v>2</v>
      </c>
      <c r="H2" s="15" t="s">
        <v>3</v>
      </c>
      <c r="I2" s="15" t="s">
        <v>377</v>
      </c>
      <c r="J2" s="15" t="s">
        <v>379</v>
      </c>
      <c r="K2" s="15" t="s">
        <v>383</v>
      </c>
      <c r="L2" s="15" t="s">
        <v>380</v>
      </c>
      <c r="M2" s="16" t="s">
        <v>370</v>
      </c>
      <c r="N2" s="15" t="s">
        <v>371</v>
      </c>
      <c r="O2" s="16" t="s">
        <v>381</v>
      </c>
      <c r="P2" s="16" t="s">
        <v>387</v>
      </c>
      <c r="Q2" s="16" t="s">
        <v>384</v>
      </c>
      <c r="R2" s="15" t="s">
        <v>375</v>
      </c>
      <c r="S2" s="15" t="s">
        <v>382</v>
      </c>
      <c r="T2" s="15" t="s">
        <v>500</v>
      </c>
      <c r="U2" s="15" t="s">
        <v>501</v>
      </c>
      <c r="V2" s="15" t="s">
        <v>197</v>
      </c>
      <c r="W2" s="15" t="s">
        <v>385</v>
      </c>
      <c r="X2" s="15" t="s">
        <v>386</v>
      </c>
    </row>
    <row r="3" spans="1:24">
      <c r="A3">
        <v>1</v>
      </c>
      <c r="B3" t="str">
        <f>CONCATENATE(D3, " ",C3)</f>
        <v>Jon Syed</v>
      </c>
      <c r="C3" t="s">
        <v>200</v>
      </c>
      <c r="D3" t="s">
        <v>298</v>
      </c>
      <c r="E3" t="s">
        <v>4</v>
      </c>
      <c r="F3" t="s">
        <v>5</v>
      </c>
      <c r="G3" t="s">
        <v>6</v>
      </c>
      <c r="H3" t="s">
        <v>7</v>
      </c>
      <c r="I3" s="5">
        <v>25232</v>
      </c>
      <c r="J3" s="9">
        <f ca="1">ROUNDDOWN(YEARFRAC(I3,L3), 0)</f>
        <v>56</v>
      </c>
      <c r="K3" s="9" t="str">
        <f ca="1">IF(J3&lt;=30, "20-30",IF(J3&lt;=40, "40-50",IF(J3&lt;=50, "50-60",IF(J3&lt;=60, "60-70",IF(J3&lt;=70, "70-80",IF(J3&lt;=80, "80-90"))))))</f>
        <v>60-70</v>
      </c>
      <c r="L3" s="5">
        <f ca="1">TODAY()</f>
        <v>45991</v>
      </c>
      <c r="M3" s="5" t="s">
        <v>372</v>
      </c>
      <c r="N3" t="s">
        <v>373</v>
      </c>
      <c r="O3" s="5">
        <v>39827</v>
      </c>
      <c r="P3" s="10" t="str">
        <f>TEXT(O3, "mmmm")</f>
        <v>January</v>
      </c>
      <c r="Q3" s="9">
        <f ca="1">ROUNDDOWN(YEARFRAC(O3, L3),0)</f>
        <v>16</v>
      </c>
      <c r="R3">
        <v>1</v>
      </c>
      <c r="S3" t="str">
        <f>IF(R3=1, "Paid","Unpaid" )</f>
        <v>Paid</v>
      </c>
      <c r="T3" t="str">
        <f>IF(S3="Paid",B3, " ")</f>
        <v>Jon Syed</v>
      </c>
      <c r="U3" t="str">
        <f>IF(S3="Unpaid",B3, " ")</f>
        <v xml:space="preserve"> </v>
      </c>
      <c r="V3" s="18">
        <f>VLOOKUP(A3,'Staff Salary'!A2:B103,2)</f>
        <v>120</v>
      </c>
      <c r="W3" s="13">
        <f>IF(AND(TRIM(N3) = "M",TRIM(F3) ="USA"),V3*X3,0)</f>
        <v>0</v>
      </c>
      <c r="X3" s="8">
        <v>0.2</v>
      </c>
    </row>
    <row r="4" spans="1:24">
      <c r="A4">
        <v>2</v>
      </c>
      <c r="B4" t="str">
        <f t="shared" ref="B4:B67" si="0">CONCATENATE(D4, " ",C4)</f>
        <v>Jorge Catherine</v>
      </c>
      <c r="C4" t="s">
        <v>201</v>
      </c>
      <c r="D4" t="s">
        <v>299</v>
      </c>
      <c r="E4" t="s">
        <v>8</v>
      </c>
      <c r="F4" t="s">
        <v>9</v>
      </c>
      <c r="G4" t="s">
        <v>10</v>
      </c>
      <c r="H4" t="s">
        <v>11</v>
      </c>
      <c r="I4" s="5">
        <v>26146</v>
      </c>
      <c r="J4" s="9">
        <f t="shared" ref="J4:J67" ca="1" si="1">ROUNDDOWN(YEARFRAC(I4,L4), 0)</f>
        <v>54</v>
      </c>
      <c r="K4" s="9" t="str">
        <f t="shared" ref="K4:K67" ca="1" si="2">IF(J4&lt;=30, "20-30",IF(J4&lt;=40, "40-50",IF(J4&lt;=50, "50-60",IF(J4&lt;=60, "60-70",IF(J4&lt;=70, "70-80",IF(J4&lt;=80, "80-90"))))))</f>
        <v>60-70</v>
      </c>
      <c r="L4" s="5">
        <f t="shared" ref="L4:L67" ca="1" si="3">TODAY()</f>
        <v>45991</v>
      </c>
      <c r="M4" s="5" t="s">
        <v>372</v>
      </c>
      <c r="N4" t="s">
        <v>374</v>
      </c>
      <c r="O4" s="5">
        <v>39478</v>
      </c>
      <c r="P4" s="10" t="str">
        <f t="shared" ref="P4:P67" si="4">TEXT(O4, "mmmm")</f>
        <v>January</v>
      </c>
      <c r="Q4" s="9">
        <f t="shared" ref="Q4:Q67" ca="1" si="5">ROUNDDOWN(YEARFRAC(O4, L4),0)</f>
        <v>17</v>
      </c>
      <c r="R4">
        <v>0</v>
      </c>
      <c r="S4" t="str">
        <f t="shared" ref="S4:S67" si="6">IF(R4=1, "Paid","Unpaid" )</f>
        <v>Unpaid</v>
      </c>
      <c r="T4" t="str">
        <f t="shared" ref="T4:T67" si="7">IF(S4="Paid",B4, " ")</f>
        <v xml:space="preserve"> </v>
      </c>
      <c r="U4" t="str">
        <f t="shared" ref="U4:U67" si="8">IF(S4="Unpaid",B4, " ")</f>
        <v>Jorge Catherine</v>
      </c>
      <c r="V4" s="18">
        <f>VLOOKUP(A4,'Staff Salary'!A3:B104,2)</f>
        <v>190</v>
      </c>
      <c r="W4" s="13">
        <f t="shared" ref="W4:W67" si="9">IF(AND(TRIM(N4) = "M",TRIM(F4) ="USA"),V4*X4,0)</f>
        <v>0</v>
      </c>
      <c r="X4" s="8">
        <v>0.2</v>
      </c>
    </row>
    <row r="5" spans="1:24">
      <c r="A5">
        <v>3</v>
      </c>
      <c r="B5" t="str">
        <f t="shared" si="0"/>
        <v>Karen Kim</v>
      </c>
      <c r="C5" t="s">
        <v>202</v>
      </c>
      <c r="D5" t="s">
        <v>300</v>
      </c>
      <c r="E5" t="s">
        <v>12</v>
      </c>
      <c r="F5" t="s">
        <v>9</v>
      </c>
      <c r="G5" t="s">
        <v>13</v>
      </c>
      <c r="H5" t="s">
        <v>11</v>
      </c>
      <c r="I5" s="5">
        <v>27345</v>
      </c>
      <c r="J5" s="9">
        <f t="shared" ca="1" si="1"/>
        <v>51</v>
      </c>
      <c r="K5" s="9" t="str">
        <f t="shared" ca="1" si="2"/>
        <v>60-70</v>
      </c>
      <c r="L5" s="5">
        <f t="shared" ca="1" si="3"/>
        <v>45991</v>
      </c>
      <c r="M5" s="5" t="s">
        <v>373</v>
      </c>
      <c r="N5" t="s">
        <v>373</v>
      </c>
      <c r="O5" s="5">
        <v>39397</v>
      </c>
      <c r="P5" s="10" t="str">
        <f t="shared" si="4"/>
        <v>November</v>
      </c>
      <c r="Q5" s="9">
        <f t="shared" ca="1" si="5"/>
        <v>18</v>
      </c>
      <c r="R5">
        <v>1</v>
      </c>
      <c r="S5" t="str">
        <f t="shared" si="6"/>
        <v>Paid</v>
      </c>
      <c r="T5" t="str">
        <f t="shared" si="7"/>
        <v>Karen Kim</v>
      </c>
      <c r="U5" t="str">
        <f t="shared" si="8"/>
        <v xml:space="preserve"> </v>
      </c>
      <c r="V5" s="18">
        <f>VLOOKUP(A5,'Staff Salary'!A4:B105,2)</f>
        <v>120</v>
      </c>
      <c r="W5" s="13">
        <f t="shared" si="9"/>
        <v>24</v>
      </c>
      <c r="X5" s="8">
        <v>0.2</v>
      </c>
    </row>
    <row r="6" spans="1:24">
      <c r="A6">
        <v>4</v>
      </c>
      <c r="B6" t="str">
        <f t="shared" si="0"/>
        <v>Kelli Kim</v>
      </c>
      <c r="C6" t="s">
        <v>202</v>
      </c>
      <c r="D6" t="s">
        <v>301</v>
      </c>
      <c r="E6" t="s">
        <v>14</v>
      </c>
      <c r="F6" t="s">
        <v>9</v>
      </c>
      <c r="G6" t="s">
        <v>15</v>
      </c>
      <c r="H6" t="s">
        <v>16</v>
      </c>
      <c r="I6" s="5">
        <v>27386</v>
      </c>
      <c r="J6" s="9">
        <f t="shared" ca="1" si="1"/>
        <v>50</v>
      </c>
      <c r="K6" s="9" t="str">
        <f t="shared" ca="1" si="2"/>
        <v>50-60</v>
      </c>
      <c r="L6" s="5">
        <f t="shared" ca="1" si="3"/>
        <v>45991</v>
      </c>
      <c r="M6" s="5" t="s">
        <v>372</v>
      </c>
      <c r="N6" t="s">
        <v>373</v>
      </c>
      <c r="O6" s="5">
        <v>39421</v>
      </c>
      <c r="P6" s="10" t="str">
        <f t="shared" si="4"/>
        <v>December</v>
      </c>
      <c r="Q6" s="9">
        <f t="shared" ca="1" si="5"/>
        <v>17</v>
      </c>
      <c r="R6">
        <v>1</v>
      </c>
      <c r="S6" t="str">
        <f t="shared" si="6"/>
        <v>Paid</v>
      </c>
      <c r="T6" t="str">
        <f t="shared" si="7"/>
        <v>Kelli Kim</v>
      </c>
      <c r="U6" t="str">
        <f t="shared" si="8"/>
        <v xml:space="preserve"> </v>
      </c>
      <c r="V6" s="18">
        <f>VLOOKUP(A6,'Staff Salary'!A5:B106,2)</f>
        <v>190</v>
      </c>
      <c r="W6" s="13">
        <f t="shared" si="9"/>
        <v>38</v>
      </c>
      <c r="X6" s="8">
        <v>0.2</v>
      </c>
    </row>
    <row r="7" spans="1:24">
      <c r="A7">
        <v>5</v>
      </c>
      <c r="B7" t="str">
        <f t="shared" si="0"/>
        <v>Kelvin Kim</v>
      </c>
      <c r="C7" t="s">
        <v>202</v>
      </c>
      <c r="D7" t="s">
        <v>302</v>
      </c>
      <c r="E7" t="s">
        <v>17</v>
      </c>
      <c r="F7" t="s">
        <v>18</v>
      </c>
      <c r="G7" t="s">
        <v>19</v>
      </c>
      <c r="H7" t="s">
        <v>20</v>
      </c>
      <c r="I7" s="5">
        <v>19264</v>
      </c>
      <c r="J7" s="9">
        <f t="shared" ca="1" si="1"/>
        <v>73</v>
      </c>
      <c r="K7" s="9" t="str">
        <f t="shared" ca="1" si="2"/>
        <v>80-90</v>
      </c>
      <c r="L7" s="5">
        <f t="shared" ca="1" si="3"/>
        <v>45991</v>
      </c>
      <c r="M7" s="5" t="s">
        <v>373</v>
      </c>
      <c r="N7" t="s">
        <v>374</v>
      </c>
      <c r="O7" s="5">
        <v>39453</v>
      </c>
      <c r="P7" s="10" t="str">
        <f t="shared" si="4"/>
        <v>January</v>
      </c>
      <c r="Q7" s="9">
        <f t="shared" ca="1" si="5"/>
        <v>17</v>
      </c>
      <c r="R7">
        <v>0</v>
      </c>
      <c r="S7" t="str">
        <f t="shared" si="6"/>
        <v>Unpaid</v>
      </c>
      <c r="T7" t="str">
        <f t="shared" si="7"/>
        <v xml:space="preserve"> </v>
      </c>
      <c r="U7" t="str">
        <f t="shared" si="8"/>
        <v>Kelvin Kim</v>
      </c>
      <c r="V7" s="18">
        <f>VLOOKUP(A7,'Staff Salary'!A6:B107,2)</f>
        <v>610</v>
      </c>
      <c r="W7" s="13">
        <f t="shared" si="9"/>
        <v>0</v>
      </c>
      <c r="X7" s="8">
        <v>0.2</v>
      </c>
    </row>
    <row r="8" spans="1:24">
      <c r="A8">
        <v>6</v>
      </c>
      <c r="B8" t="str">
        <f t="shared" si="0"/>
        <v>Kristen Hazem</v>
      </c>
      <c r="C8" t="s">
        <v>203</v>
      </c>
      <c r="D8" t="s">
        <v>303</v>
      </c>
      <c r="E8" t="s">
        <v>21</v>
      </c>
      <c r="F8" t="s">
        <v>9</v>
      </c>
      <c r="G8" t="s">
        <v>22</v>
      </c>
      <c r="H8" t="s">
        <v>23</v>
      </c>
      <c r="I8" s="5">
        <v>21620</v>
      </c>
      <c r="J8" s="9">
        <f t="shared" ca="1" si="1"/>
        <v>66</v>
      </c>
      <c r="K8" s="9" t="str">
        <f t="shared" ca="1" si="2"/>
        <v>70-80</v>
      </c>
      <c r="L8" s="5">
        <f t="shared" ca="1" si="3"/>
        <v>45991</v>
      </c>
      <c r="M8" s="5" t="s">
        <v>373</v>
      </c>
      <c r="N8" t="s">
        <v>373</v>
      </c>
      <c r="O8" s="5">
        <v>39471</v>
      </c>
      <c r="P8" s="10" t="str">
        <f t="shared" si="4"/>
        <v>January</v>
      </c>
      <c r="Q8" s="9">
        <f t="shared" ca="1" si="5"/>
        <v>17</v>
      </c>
      <c r="R8">
        <v>0</v>
      </c>
      <c r="S8" t="str">
        <f t="shared" si="6"/>
        <v>Unpaid</v>
      </c>
      <c r="T8" t="str">
        <f t="shared" si="7"/>
        <v xml:space="preserve"> </v>
      </c>
      <c r="U8" t="str">
        <f t="shared" si="8"/>
        <v>Kristen Hazem</v>
      </c>
      <c r="V8" s="18">
        <f>VLOOKUP(A8,'Staff Salary'!A7:B108,2)</f>
        <v>120</v>
      </c>
      <c r="W8" s="13">
        <f t="shared" si="9"/>
        <v>24</v>
      </c>
      <c r="X8" s="8">
        <v>0.2</v>
      </c>
    </row>
    <row r="9" spans="1:24">
      <c r="A9">
        <v>7</v>
      </c>
      <c r="B9" t="str">
        <f t="shared" si="0"/>
        <v>Krystal Sam</v>
      </c>
      <c r="C9" t="s">
        <v>204</v>
      </c>
      <c r="D9" t="s">
        <v>304</v>
      </c>
      <c r="E9" t="s">
        <v>24</v>
      </c>
      <c r="F9" t="s">
        <v>9</v>
      </c>
      <c r="G9" t="s">
        <v>25</v>
      </c>
      <c r="H9" t="s">
        <v>16</v>
      </c>
      <c r="I9" s="5">
        <v>31832</v>
      </c>
      <c r="J9" s="9">
        <f t="shared" ca="1" si="1"/>
        <v>38</v>
      </c>
      <c r="K9" s="9" t="str">
        <f t="shared" ca="1" si="2"/>
        <v>40-50</v>
      </c>
      <c r="L9" s="5">
        <f t="shared" ca="1" si="3"/>
        <v>45991</v>
      </c>
      <c r="M9" s="5" t="s">
        <v>373</v>
      </c>
      <c r="N9" t="s">
        <v>373</v>
      </c>
      <c r="O9" s="5">
        <v>39852</v>
      </c>
      <c r="P9" s="10" t="str">
        <f t="shared" si="4"/>
        <v>February</v>
      </c>
      <c r="Q9" s="9">
        <f t="shared" ca="1" si="5"/>
        <v>16</v>
      </c>
      <c r="R9">
        <v>1</v>
      </c>
      <c r="S9" t="str">
        <f t="shared" si="6"/>
        <v>Paid</v>
      </c>
      <c r="T9" t="str">
        <f t="shared" si="7"/>
        <v>Krystal Sam</v>
      </c>
      <c r="U9" t="str">
        <f t="shared" si="8"/>
        <v xml:space="preserve"> </v>
      </c>
      <c r="V9" s="18">
        <f>VLOOKUP(A9,'Staff Salary'!A8:B109,2)</f>
        <v>120</v>
      </c>
      <c r="W9" s="13">
        <f t="shared" si="9"/>
        <v>24</v>
      </c>
      <c r="X9" s="8">
        <v>0.2</v>
      </c>
    </row>
    <row r="10" spans="1:24">
      <c r="A10">
        <v>8</v>
      </c>
      <c r="B10" t="str">
        <f t="shared" si="0"/>
        <v>Lacey Humberto</v>
      </c>
      <c r="C10" t="s">
        <v>205</v>
      </c>
      <c r="D10" t="s">
        <v>305</v>
      </c>
      <c r="E10" t="s">
        <v>26</v>
      </c>
      <c r="F10" t="s">
        <v>9</v>
      </c>
      <c r="G10" t="s">
        <v>27</v>
      </c>
      <c r="H10" t="s">
        <v>28</v>
      </c>
      <c r="I10" s="5">
        <v>31568</v>
      </c>
      <c r="J10" s="9">
        <f t="shared" ca="1" si="1"/>
        <v>39</v>
      </c>
      <c r="K10" s="9" t="str">
        <f t="shared" ca="1" si="2"/>
        <v>40-50</v>
      </c>
      <c r="L10" s="5">
        <f t="shared" ca="1" si="3"/>
        <v>45991</v>
      </c>
      <c r="M10" s="5" t="s">
        <v>372</v>
      </c>
      <c r="N10" t="s">
        <v>374</v>
      </c>
      <c r="O10" s="5">
        <v>39811</v>
      </c>
      <c r="P10" s="10" t="str">
        <f t="shared" si="4"/>
        <v>December</v>
      </c>
      <c r="Q10" s="9">
        <f t="shared" ca="1" si="5"/>
        <v>16</v>
      </c>
      <c r="R10">
        <v>0</v>
      </c>
      <c r="S10" t="str">
        <f t="shared" si="6"/>
        <v>Unpaid</v>
      </c>
      <c r="T10" t="str">
        <f t="shared" si="7"/>
        <v xml:space="preserve"> </v>
      </c>
      <c r="U10" t="str">
        <f t="shared" si="8"/>
        <v>Lacey Humberto</v>
      </c>
      <c r="V10" s="18">
        <f>VLOOKUP(A10,'Staff Salary'!A9:B110,2)</f>
        <v>360</v>
      </c>
      <c r="W10" s="13">
        <f t="shared" si="9"/>
        <v>0</v>
      </c>
      <c r="X10" s="8">
        <v>0.2</v>
      </c>
    </row>
    <row r="11" spans="1:24">
      <c r="A11">
        <v>9</v>
      </c>
      <c r="B11" t="str">
        <f t="shared" si="0"/>
        <v>Laura Gustavo</v>
      </c>
      <c r="C11" t="s">
        <v>206</v>
      </c>
      <c r="D11" t="s">
        <v>306</v>
      </c>
      <c r="E11" t="s">
        <v>29</v>
      </c>
      <c r="F11" t="s">
        <v>5</v>
      </c>
      <c r="G11" t="s">
        <v>30</v>
      </c>
      <c r="H11" t="s">
        <v>31</v>
      </c>
      <c r="I11" s="5">
        <v>28876</v>
      </c>
      <c r="J11" s="9">
        <f t="shared" ca="1" si="1"/>
        <v>46</v>
      </c>
      <c r="K11" s="9" t="str">
        <f t="shared" ca="1" si="2"/>
        <v>50-60</v>
      </c>
      <c r="L11" s="5">
        <f t="shared" ca="1" si="3"/>
        <v>45991</v>
      </c>
      <c r="M11" s="5" t="s">
        <v>373</v>
      </c>
      <c r="N11" t="s">
        <v>374</v>
      </c>
      <c r="O11" s="5">
        <v>39829</v>
      </c>
      <c r="P11" s="10" t="str">
        <f t="shared" si="4"/>
        <v>January</v>
      </c>
      <c r="Q11" s="9">
        <f t="shared" ca="1" si="5"/>
        <v>16</v>
      </c>
      <c r="R11">
        <v>1</v>
      </c>
      <c r="S11" t="str">
        <f t="shared" si="6"/>
        <v>Paid</v>
      </c>
      <c r="T11" t="str">
        <f t="shared" si="7"/>
        <v>Laura Gustavo</v>
      </c>
      <c r="U11" t="str">
        <f t="shared" si="8"/>
        <v xml:space="preserve"> </v>
      </c>
      <c r="V11" s="18">
        <f>VLOOKUP(A11,'Staff Salary'!A10:B111,2)</f>
        <v>190</v>
      </c>
      <c r="W11" s="13">
        <f t="shared" si="9"/>
        <v>0</v>
      </c>
      <c r="X11" s="8">
        <v>0.2</v>
      </c>
    </row>
    <row r="12" spans="1:24">
      <c r="A12">
        <v>10</v>
      </c>
      <c r="B12" t="str">
        <f t="shared" si="0"/>
        <v>Leah Pilar</v>
      </c>
      <c r="C12" t="s">
        <v>207</v>
      </c>
      <c r="D12" t="s">
        <v>307</v>
      </c>
      <c r="E12" t="s">
        <v>32</v>
      </c>
      <c r="F12" t="s">
        <v>18</v>
      </c>
      <c r="G12" t="s">
        <v>33</v>
      </c>
      <c r="H12" t="s">
        <v>34</v>
      </c>
      <c r="I12" s="5">
        <v>31016</v>
      </c>
      <c r="J12" s="9">
        <f t="shared" ca="1" si="1"/>
        <v>41</v>
      </c>
      <c r="K12" s="9" t="str">
        <f t="shared" ca="1" si="2"/>
        <v>50-60</v>
      </c>
      <c r="L12" s="5">
        <f t="shared" ca="1" si="3"/>
        <v>45991</v>
      </c>
      <c r="M12" s="5" t="s">
        <v>373</v>
      </c>
      <c r="N12" t="s">
        <v>373</v>
      </c>
      <c r="O12" s="5">
        <v>39936</v>
      </c>
      <c r="P12" s="10" t="str">
        <f t="shared" si="4"/>
        <v>May</v>
      </c>
      <c r="Q12" s="9">
        <f t="shared" ca="1" si="5"/>
        <v>16</v>
      </c>
      <c r="R12">
        <v>0</v>
      </c>
      <c r="S12" t="str">
        <f t="shared" si="6"/>
        <v>Unpaid</v>
      </c>
      <c r="T12" t="str">
        <f t="shared" si="7"/>
        <v xml:space="preserve"> </v>
      </c>
      <c r="U12" t="str">
        <f t="shared" si="8"/>
        <v>Leah Pilar</v>
      </c>
      <c r="V12" s="18">
        <f>VLOOKUP(A12,'Staff Salary'!A11:B112,2)</f>
        <v>190</v>
      </c>
      <c r="W12" s="13">
        <f t="shared" si="9"/>
        <v>0</v>
      </c>
      <c r="X12" s="8">
        <v>0.2</v>
      </c>
    </row>
    <row r="13" spans="1:24">
      <c r="A13">
        <v>11</v>
      </c>
      <c r="B13" t="str">
        <f t="shared" si="0"/>
        <v>Lisa Pilar</v>
      </c>
      <c r="C13" t="s">
        <v>207</v>
      </c>
      <c r="D13" t="s">
        <v>308</v>
      </c>
      <c r="E13" t="s">
        <v>35</v>
      </c>
      <c r="F13" t="s">
        <v>36</v>
      </c>
      <c r="G13" t="s">
        <v>37</v>
      </c>
      <c r="H13" t="s">
        <v>38</v>
      </c>
      <c r="I13" s="5">
        <v>28507</v>
      </c>
      <c r="J13" s="9">
        <f t="shared" ca="1" si="1"/>
        <v>47</v>
      </c>
      <c r="K13" s="9" t="str">
        <f t="shared" ca="1" si="2"/>
        <v>50-60</v>
      </c>
      <c r="L13" s="5">
        <f t="shared" ca="1" si="3"/>
        <v>45991</v>
      </c>
      <c r="M13" s="5" t="s">
        <v>372</v>
      </c>
      <c r="N13" t="s">
        <v>373</v>
      </c>
      <c r="O13" s="5">
        <v>40517</v>
      </c>
      <c r="P13" s="10" t="str">
        <f t="shared" si="4"/>
        <v>December</v>
      </c>
      <c r="Q13" s="9">
        <f t="shared" ca="1" si="5"/>
        <v>14</v>
      </c>
      <c r="R13">
        <v>0</v>
      </c>
      <c r="S13" t="str">
        <f t="shared" si="6"/>
        <v>Unpaid</v>
      </c>
      <c r="T13" t="str">
        <f t="shared" si="7"/>
        <v xml:space="preserve"> </v>
      </c>
      <c r="U13" t="str">
        <f t="shared" si="8"/>
        <v>Lisa Pilar</v>
      </c>
      <c r="V13" s="18">
        <f>VLOOKUP(A13,'Staff Salary'!A12:B113,2)</f>
        <v>190</v>
      </c>
      <c r="W13" s="13">
        <f t="shared" si="9"/>
        <v>0</v>
      </c>
      <c r="X13" s="8">
        <v>0.2</v>
      </c>
    </row>
    <row r="14" spans="1:24">
      <c r="A14">
        <v>12</v>
      </c>
      <c r="B14" t="str">
        <f t="shared" si="0"/>
        <v>Louis Aaron</v>
      </c>
      <c r="C14" t="s">
        <v>208</v>
      </c>
      <c r="D14" t="s">
        <v>309</v>
      </c>
      <c r="E14" t="s">
        <v>39</v>
      </c>
      <c r="F14" t="s">
        <v>9</v>
      </c>
      <c r="G14" t="s">
        <v>40</v>
      </c>
      <c r="H14" t="s">
        <v>41</v>
      </c>
      <c r="I14" s="5">
        <v>21760</v>
      </c>
      <c r="J14" s="9">
        <f t="shared" ca="1" si="1"/>
        <v>66</v>
      </c>
      <c r="K14" s="9" t="str">
        <f t="shared" ca="1" si="2"/>
        <v>70-80</v>
      </c>
      <c r="L14" s="5">
        <f t="shared" ca="1" si="3"/>
        <v>45991</v>
      </c>
      <c r="M14" s="5" t="s">
        <v>373</v>
      </c>
      <c r="N14" t="s">
        <v>373</v>
      </c>
      <c r="O14" s="5">
        <v>39427</v>
      </c>
      <c r="P14" s="10" t="str">
        <f t="shared" si="4"/>
        <v>December</v>
      </c>
      <c r="Q14" s="9">
        <f t="shared" ca="1" si="5"/>
        <v>17</v>
      </c>
      <c r="R14">
        <v>1</v>
      </c>
      <c r="S14" t="str">
        <f t="shared" si="6"/>
        <v>Paid</v>
      </c>
      <c r="T14" t="str">
        <f t="shared" si="7"/>
        <v>Louis Aaron</v>
      </c>
      <c r="U14" t="str">
        <f t="shared" si="8"/>
        <v xml:space="preserve"> </v>
      </c>
      <c r="V14" s="18">
        <f>VLOOKUP(A14,'Staff Salary'!A13:B114,2)</f>
        <v>610</v>
      </c>
      <c r="W14" s="13">
        <f t="shared" si="9"/>
        <v>122</v>
      </c>
      <c r="X14" s="8">
        <v>0.2</v>
      </c>
    </row>
    <row r="15" spans="1:24">
      <c r="A15">
        <v>13</v>
      </c>
      <c r="B15" t="str">
        <f t="shared" si="0"/>
        <v>Mandy Adam</v>
      </c>
      <c r="C15" t="s">
        <v>209</v>
      </c>
      <c r="D15" t="s">
        <v>310</v>
      </c>
      <c r="E15" t="s">
        <v>42</v>
      </c>
      <c r="F15" t="s">
        <v>9</v>
      </c>
      <c r="G15" t="s">
        <v>43</v>
      </c>
      <c r="H15" t="s">
        <v>16</v>
      </c>
      <c r="I15" s="5">
        <v>32656</v>
      </c>
      <c r="J15" s="9">
        <f t="shared" ca="1" si="1"/>
        <v>36</v>
      </c>
      <c r="K15" s="9" t="str">
        <f t="shared" ca="1" si="2"/>
        <v>40-50</v>
      </c>
      <c r="L15" s="5">
        <f t="shared" ca="1" si="3"/>
        <v>45991</v>
      </c>
      <c r="M15" s="5" t="s">
        <v>373</v>
      </c>
      <c r="N15" t="s">
        <v>374</v>
      </c>
      <c r="O15" s="5">
        <v>40535</v>
      </c>
      <c r="P15" s="10" t="str">
        <f t="shared" si="4"/>
        <v>December</v>
      </c>
      <c r="Q15" s="9">
        <f t="shared" ca="1" si="5"/>
        <v>14</v>
      </c>
      <c r="R15">
        <v>1</v>
      </c>
      <c r="S15" t="str">
        <f t="shared" si="6"/>
        <v>Paid</v>
      </c>
      <c r="T15" t="str">
        <f t="shared" si="7"/>
        <v>Mandy Adam</v>
      </c>
      <c r="U15" t="str">
        <f t="shared" si="8"/>
        <v xml:space="preserve"> </v>
      </c>
      <c r="V15" s="18">
        <f>VLOOKUP(A15,'Staff Salary'!A14:B115,2)</f>
        <v>110</v>
      </c>
      <c r="W15" s="13">
        <f t="shared" si="9"/>
        <v>0</v>
      </c>
      <c r="X15" s="8">
        <v>0.2</v>
      </c>
    </row>
    <row r="16" spans="1:24">
      <c r="A16">
        <v>14</v>
      </c>
      <c r="B16" t="str">
        <f t="shared" si="0"/>
        <v>Margaret Alex</v>
      </c>
      <c r="C16" t="s">
        <v>210</v>
      </c>
      <c r="D16" t="s">
        <v>311</v>
      </c>
      <c r="E16" t="s">
        <v>44</v>
      </c>
      <c r="F16" t="s">
        <v>9</v>
      </c>
      <c r="G16" t="s">
        <v>45</v>
      </c>
      <c r="H16" t="s">
        <v>46</v>
      </c>
      <c r="I16" s="5">
        <v>29022</v>
      </c>
      <c r="J16" s="9">
        <f t="shared" ca="1" si="1"/>
        <v>46</v>
      </c>
      <c r="K16" s="9" t="str">
        <f t="shared" ca="1" si="2"/>
        <v>50-60</v>
      </c>
      <c r="L16" s="5">
        <f t="shared" ca="1" si="3"/>
        <v>45991</v>
      </c>
      <c r="M16" s="5" t="s">
        <v>372</v>
      </c>
      <c r="N16" t="s">
        <v>373</v>
      </c>
      <c r="O16" s="5">
        <v>40542</v>
      </c>
      <c r="P16" s="10" t="str">
        <f t="shared" si="4"/>
        <v>December</v>
      </c>
      <c r="Q16" s="9">
        <f t="shared" ca="1" si="5"/>
        <v>14</v>
      </c>
      <c r="R16">
        <v>0</v>
      </c>
      <c r="S16" t="str">
        <f t="shared" si="6"/>
        <v>Unpaid</v>
      </c>
      <c r="T16" t="str">
        <f t="shared" si="7"/>
        <v xml:space="preserve"> </v>
      </c>
      <c r="U16" t="str">
        <f t="shared" si="8"/>
        <v>Margaret Alex</v>
      </c>
      <c r="V16" s="18">
        <f>VLOOKUP(A16,'Staff Salary'!A15:B116,2)</f>
        <v>120</v>
      </c>
      <c r="W16" s="13">
        <f t="shared" si="9"/>
        <v>24</v>
      </c>
      <c r="X16" s="8">
        <v>0.2</v>
      </c>
    </row>
    <row r="17" spans="1:24">
      <c r="A17">
        <v>15</v>
      </c>
      <c r="B17" t="str">
        <f t="shared" si="0"/>
        <v>Martha Alexandra</v>
      </c>
      <c r="C17" t="s">
        <v>211</v>
      </c>
      <c r="D17" t="s">
        <v>312</v>
      </c>
      <c r="E17" t="s">
        <v>47</v>
      </c>
      <c r="F17" t="s">
        <v>9</v>
      </c>
      <c r="G17" t="s">
        <v>48</v>
      </c>
      <c r="H17" t="s">
        <v>49</v>
      </c>
      <c r="I17" s="5">
        <v>22403</v>
      </c>
      <c r="J17" s="9">
        <f t="shared" ca="1" si="1"/>
        <v>64</v>
      </c>
      <c r="K17" s="9" t="str">
        <f t="shared" ca="1" si="2"/>
        <v>70-80</v>
      </c>
      <c r="L17" s="5">
        <f t="shared" ca="1" si="3"/>
        <v>45991</v>
      </c>
      <c r="M17" s="5" t="s">
        <v>373</v>
      </c>
      <c r="N17" t="s">
        <v>374</v>
      </c>
      <c r="O17" s="5">
        <v>40561</v>
      </c>
      <c r="P17" s="10" t="str">
        <f t="shared" si="4"/>
        <v>January</v>
      </c>
      <c r="Q17" s="9">
        <f t="shared" ca="1" si="5"/>
        <v>14</v>
      </c>
      <c r="R17">
        <v>0</v>
      </c>
      <c r="S17" t="str">
        <f t="shared" si="6"/>
        <v>Unpaid</v>
      </c>
      <c r="T17" t="str">
        <f t="shared" si="7"/>
        <v xml:space="preserve"> </v>
      </c>
      <c r="U17" t="str">
        <f t="shared" si="8"/>
        <v>Martha Alexandra</v>
      </c>
      <c r="V17" s="18">
        <f>VLOOKUP(A17,'Staff Salary'!A16:B117,2)</f>
        <v>110</v>
      </c>
      <c r="W17" s="13">
        <f t="shared" si="9"/>
        <v>0</v>
      </c>
      <c r="X17" s="8">
        <v>0.2</v>
      </c>
    </row>
    <row r="18" spans="1:24">
      <c r="A18">
        <v>16</v>
      </c>
      <c r="B18" t="str">
        <f t="shared" si="0"/>
        <v>Micah Allison</v>
      </c>
      <c r="C18" t="s">
        <v>212</v>
      </c>
      <c r="D18" t="s">
        <v>313</v>
      </c>
      <c r="E18" t="s">
        <v>50</v>
      </c>
      <c r="F18" t="s">
        <v>9</v>
      </c>
      <c r="G18" t="s">
        <v>25</v>
      </c>
      <c r="H18" t="s">
        <v>16</v>
      </c>
      <c r="I18" s="5">
        <v>27472</v>
      </c>
      <c r="J18" s="9">
        <f t="shared" ca="1" si="1"/>
        <v>50</v>
      </c>
      <c r="K18" s="9" t="str">
        <f t="shared" ca="1" si="2"/>
        <v>50-60</v>
      </c>
      <c r="L18" s="5">
        <f t="shared" ca="1" si="3"/>
        <v>45991</v>
      </c>
      <c r="M18" s="5" t="s">
        <v>372</v>
      </c>
      <c r="N18" t="s">
        <v>373</v>
      </c>
      <c r="O18" s="5">
        <v>39436</v>
      </c>
      <c r="P18" s="10" t="str">
        <f t="shared" si="4"/>
        <v>December</v>
      </c>
      <c r="Q18" s="9">
        <f t="shared" ca="1" si="5"/>
        <v>17</v>
      </c>
      <c r="R18">
        <v>1</v>
      </c>
      <c r="S18" t="str">
        <f t="shared" si="6"/>
        <v>Paid</v>
      </c>
      <c r="T18" t="str">
        <f t="shared" si="7"/>
        <v>Micah Allison</v>
      </c>
      <c r="U18" t="str">
        <f t="shared" si="8"/>
        <v xml:space="preserve"> </v>
      </c>
      <c r="V18" s="18">
        <f>VLOOKUP(A18,'Staff Salary'!A17:B118,2)</f>
        <v>120</v>
      </c>
      <c r="W18" s="13">
        <f t="shared" si="9"/>
        <v>24</v>
      </c>
      <c r="X18" s="8">
        <v>0.2</v>
      </c>
    </row>
    <row r="19" spans="1:24">
      <c r="A19">
        <v>17</v>
      </c>
      <c r="B19" t="str">
        <f t="shared" si="0"/>
        <v>Omar Amanda</v>
      </c>
      <c r="C19" t="s">
        <v>213</v>
      </c>
      <c r="D19" t="s">
        <v>314</v>
      </c>
      <c r="E19" t="s">
        <v>51</v>
      </c>
      <c r="F19" t="s">
        <v>9</v>
      </c>
      <c r="G19" t="s">
        <v>52</v>
      </c>
      <c r="H19" t="s">
        <v>53</v>
      </c>
      <c r="I19" s="5">
        <v>31900</v>
      </c>
      <c r="J19" s="9">
        <f t="shared" ca="1" si="1"/>
        <v>38</v>
      </c>
      <c r="K19" s="9" t="str">
        <f t="shared" ca="1" si="2"/>
        <v>40-50</v>
      </c>
      <c r="L19" s="5">
        <f t="shared" ca="1" si="3"/>
        <v>45991</v>
      </c>
      <c r="M19" s="5" t="s">
        <v>372</v>
      </c>
      <c r="N19" t="s">
        <v>373</v>
      </c>
      <c r="O19" s="5">
        <v>39108</v>
      </c>
      <c r="P19" s="10" t="str">
        <f t="shared" si="4"/>
        <v>January</v>
      </c>
      <c r="Q19" s="9">
        <f t="shared" ca="1" si="5"/>
        <v>18</v>
      </c>
      <c r="R19">
        <v>0</v>
      </c>
      <c r="S19" t="str">
        <f t="shared" si="6"/>
        <v>Unpaid</v>
      </c>
      <c r="T19" t="str">
        <f t="shared" si="7"/>
        <v xml:space="preserve"> </v>
      </c>
      <c r="U19" t="str">
        <f t="shared" si="8"/>
        <v>Omar Amanda</v>
      </c>
      <c r="V19" s="18">
        <f>VLOOKUP(A19,'Staff Salary'!A18:B119,2)</f>
        <v>190</v>
      </c>
      <c r="W19" s="13">
        <f t="shared" si="9"/>
        <v>38</v>
      </c>
      <c r="X19" s="8">
        <v>0.2</v>
      </c>
    </row>
    <row r="20" spans="1:24">
      <c r="A20">
        <v>18</v>
      </c>
      <c r="B20" t="str">
        <f t="shared" si="0"/>
        <v>Rafael Amber</v>
      </c>
      <c r="C20" t="s">
        <v>214</v>
      </c>
      <c r="D20" t="s">
        <v>315</v>
      </c>
      <c r="E20" t="s">
        <v>54</v>
      </c>
      <c r="F20" t="s">
        <v>9</v>
      </c>
      <c r="G20" t="s">
        <v>55</v>
      </c>
      <c r="H20" t="s">
        <v>49</v>
      </c>
      <c r="I20" s="5">
        <v>28555</v>
      </c>
      <c r="J20" s="9">
        <f t="shared" ca="1" si="1"/>
        <v>47</v>
      </c>
      <c r="K20" s="9" t="str">
        <f t="shared" ca="1" si="2"/>
        <v>50-60</v>
      </c>
      <c r="L20" s="5">
        <f t="shared" ca="1" si="3"/>
        <v>45991</v>
      </c>
      <c r="M20" s="5" t="s">
        <v>372</v>
      </c>
      <c r="N20" t="s">
        <v>373</v>
      </c>
      <c r="O20" s="5">
        <v>40581</v>
      </c>
      <c r="P20" s="10" t="str">
        <f t="shared" si="4"/>
        <v>February</v>
      </c>
      <c r="Q20" s="9">
        <f t="shared" ca="1" si="5"/>
        <v>14</v>
      </c>
      <c r="R20">
        <v>0</v>
      </c>
      <c r="S20" t="str">
        <f t="shared" si="6"/>
        <v>Unpaid</v>
      </c>
      <c r="T20" t="str">
        <f t="shared" si="7"/>
        <v xml:space="preserve"> </v>
      </c>
      <c r="U20" t="str">
        <f t="shared" si="8"/>
        <v>Rafael Amber</v>
      </c>
      <c r="V20" s="18">
        <f>VLOOKUP(A20,'Staff Salary'!A19:B120,2)</f>
        <v>190</v>
      </c>
      <c r="W20" s="13">
        <f t="shared" si="9"/>
        <v>38</v>
      </c>
      <c r="X20" s="8">
        <v>0.2</v>
      </c>
    </row>
    <row r="21" spans="1:24">
      <c r="A21">
        <v>19</v>
      </c>
      <c r="B21" t="str">
        <f t="shared" si="0"/>
        <v>Ramon Andrea</v>
      </c>
      <c r="C21" t="s">
        <v>215</v>
      </c>
      <c r="D21" t="s">
        <v>316</v>
      </c>
      <c r="E21" t="s">
        <v>56</v>
      </c>
      <c r="F21" t="s">
        <v>9</v>
      </c>
      <c r="G21" t="s">
        <v>57</v>
      </c>
      <c r="H21" t="s">
        <v>46</v>
      </c>
      <c r="I21" s="5">
        <v>28519</v>
      </c>
      <c r="J21" s="9">
        <f t="shared" ca="1" si="1"/>
        <v>47</v>
      </c>
      <c r="K21" s="9" t="str">
        <f t="shared" ca="1" si="2"/>
        <v>50-60</v>
      </c>
      <c r="L21" s="5">
        <f t="shared" ca="1" si="3"/>
        <v>45991</v>
      </c>
      <c r="M21" s="5" t="s">
        <v>372</v>
      </c>
      <c r="N21" t="s">
        <v>374</v>
      </c>
      <c r="O21" s="5">
        <v>40588</v>
      </c>
      <c r="P21" s="10" t="str">
        <f t="shared" si="4"/>
        <v>February</v>
      </c>
      <c r="Q21" s="9">
        <f t="shared" ca="1" si="5"/>
        <v>14</v>
      </c>
      <c r="R21">
        <v>0</v>
      </c>
      <c r="S21" t="str">
        <f t="shared" si="6"/>
        <v>Unpaid</v>
      </c>
      <c r="T21" t="str">
        <f t="shared" si="7"/>
        <v xml:space="preserve"> </v>
      </c>
      <c r="U21" t="str">
        <f t="shared" si="8"/>
        <v>Ramon Andrea</v>
      </c>
      <c r="V21" s="18">
        <f>VLOOKUP(A21,'Staff Salary'!A20:B121,2)</f>
        <v>110</v>
      </c>
      <c r="W21" s="13">
        <f t="shared" si="9"/>
        <v>0</v>
      </c>
      <c r="X21" s="8">
        <v>0.2</v>
      </c>
    </row>
    <row r="22" spans="1:24">
      <c r="A22">
        <v>20</v>
      </c>
      <c r="B22" t="str">
        <f t="shared" si="0"/>
        <v>Randy Angel</v>
      </c>
      <c r="C22" t="s">
        <v>216</v>
      </c>
      <c r="D22" t="s">
        <v>317</v>
      </c>
      <c r="E22" t="s">
        <v>58</v>
      </c>
      <c r="F22" t="s">
        <v>9</v>
      </c>
      <c r="G22" t="s">
        <v>59</v>
      </c>
      <c r="H22" t="s">
        <v>46</v>
      </c>
      <c r="I22" s="5">
        <v>27470</v>
      </c>
      <c r="J22" s="9">
        <f t="shared" ca="1" si="1"/>
        <v>50</v>
      </c>
      <c r="K22" s="9" t="str">
        <f t="shared" ca="1" si="2"/>
        <v>50-60</v>
      </c>
      <c r="L22" s="5">
        <f t="shared" ca="1" si="3"/>
        <v>45991</v>
      </c>
      <c r="M22" s="5" t="s">
        <v>373</v>
      </c>
      <c r="N22" t="s">
        <v>374</v>
      </c>
      <c r="O22" s="5">
        <v>40550</v>
      </c>
      <c r="P22" s="10" t="str">
        <f t="shared" si="4"/>
        <v>January</v>
      </c>
      <c r="Q22" s="9">
        <f t="shared" ca="1" si="5"/>
        <v>14</v>
      </c>
      <c r="R22">
        <v>1</v>
      </c>
      <c r="S22" t="str">
        <f t="shared" si="6"/>
        <v>Paid</v>
      </c>
      <c r="T22" t="str">
        <f t="shared" si="7"/>
        <v>Randy Angel</v>
      </c>
      <c r="U22" t="str">
        <f t="shared" si="8"/>
        <v xml:space="preserve"> </v>
      </c>
      <c r="V22" s="18">
        <f>VLOOKUP(A22,'Staff Salary'!A21:B122,2)</f>
        <v>190</v>
      </c>
      <c r="W22" s="13">
        <f t="shared" si="9"/>
        <v>0</v>
      </c>
      <c r="X22" s="8">
        <v>0.2</v>
      </c>
    </row>
    <row r="23" spans="1:24">
      <c r="A23">
        <v>21</v>
      </c>
      <c r="B23" t="str">
        <f t="shared" si="0"/>
        <v>Roger Bailey</v>
      </c>
      <c r="C23" t="s">
        <v>217</v>
      </c>
      <c r="D23" t="s">
        <v>318</v>
      </c>
      <c r="E23" t="s">
        <v>60</v>
      </c>
      <c r="F23" t="s">
        <v>9</v>
      </c>
      <c r="G23" t="s">
        <v>61</v>
      </c>
      <c r="H23" t="s">
        <v>28</v>
      </c>
      <c r="I23" s="5">
        <v>31447</v>
      </c>
      <c r="J23" s="9">
        <f t="shared" ca="1" si="1"/>
        <v>39</v>
      </c>
      <c r="K23" s="9" t="str">
        <f t="shared" ca="1" si="2"/>
        <v>40-50</v>
      </c>
      <c r="L23" s="5">
        <f t="shared" ca="1" si="3"/>
        <v>45991</v>
      </c>
      <c r="M23" s="5" t="s">
        <v>373</v>
      </c>
      <c r="N23" t="s">
        <v>373</v>
      </c>
      <c r="O23" s="5">
        <v>39874</v>
      </c>
      <c r="P23" s="10" t="str">
        <f t="shared" si="4"/>
        <v>March</v>
      </c>
      <c r="Q23" s="9">
        <f t="shared" ca="1" si="5"/>
        <v>16</v>
      </c>
      <c r="R23">
        <v>1</v>
      </c>
      <c r="S23" t="str">
        <f t="shared" si="6"/>
        <v>Paid</v>
      </c>
      <c r="T23" t="str">
        <f t="shared" si="7"/>
        <v>Roger Bailey</v>
      </c>
      <c r="U23" t="str">
        <f t="shared" si="8"/>
        <v xml:space="preserve"> </v>
      </c>
      <c r="V23" s="18">
        <f>VLOOKUP(A23,'Staff Salary'!A22:B123,2)</f>
        <v>190</v>
      </c>
      <c r="W23" s="13">
        <f t="shared" si="9"/>
        <v>38</v>
      </c>
      <c r="X23" s="8">
        <v>0.2</v>
      </c>
    </row>
    <row r="24" spans="1:24">
      <c r="A24">
        <v>22</v>
      </c>
      <c r="B24" t="str">
        <f t="shared" si="0"/>
        <v>Rosa Ben</v>
      </c>
      <c r="C24" t="s">
        <v>218</v>
      </c>
      <c r="D24" t="s">
        <v>319</v>
      </c>
      <c r="E24" t="s">
        <v>62</v>
      </c>
      <c r="F24" t="s">
        <v>5</v>
      </c>
      <c r="G24" t="s">
        <v>63</v>
      </c>
      <c r="H24" t="s">
        <v>64</v>
      </c>
      <c r="I24" s="5">
        <v>31918</v>
      </c>
      <c r="J24" s="9">
        <f t="shared" ca="1" si="1"/>
        <v>38</v>
      </c>
      <c r="K24" s="9" t="str">
        <f t="shared" ca="1" si="2"/>
        <v>40-50</v>
      </c>
      <c r="L24" s="5">
        <f t="shared" ca="1" si="3"/>
        <v>45991</v>
      </c>
      <c r="M24" s="5" t="s">
        <v>372</v>
      </c>
      <c r="N24" t="s">
        <v>373</v>
      </c>
      <c r="O24" s="5">
        <v>39794</v>
      </c>
      <c r="P24" s="10" t="str">
        <f t="shared" si="4"/>
        <v>December</v>
      </c>
      <c r="Q24" s="9">
        <f t="shared" ca="1" si="5"/>
        <v>16</v>
      </c>
      <c r="R24">
        <v>1</v>
      </c>
      <c r="S24" t="str">
        <f t="shared" si="6"/>
        <v>Paid</v>
      </c>
      <c r="T24" t="str">
        <f t="shared" si="7"/>
        <v>Rosa Ben</v>
      </c>
      <c r="U24" t="str">
        <f t="shared" si="8"/>
        <v xml:space="preserve"> </v>
      </c>
      <c r="V24" s="18">
        <f>VLOOKUP(A24,'Staff Salary'!A23:B124,2)</f>
        <v>225</v>
      </c>
      <c r="W24" s="13">
        <f t="shared" si="9"/>
        <v>0</v>
      </c>
      <c r="X24" s="8">
        <v>0.2</v>
      </c>
    </row>
    <row r="25" spans="1:24">
      <c r="A25">
        <v>23</v>
      </c>
      <c r="B25" t="str">
        <f t="shared" si="0"/>
        <v>Sandra Blake</v>
      </c>
      <c r="C25" t="s">
        <v>219</v>
      </c>
      <c r="D25" t="s">
        <v>320</v>
      </c>
      <c r="E25" t="s">
        <v>65</v>
      </c>
      <c r="F25" t="s">
        <v>9</v>
      </c>
      <c r="G25" t="s">
        <v>66</v>
      </c>
      <c r="H25" t="s">
        <v>53</v>
      </c>
      <c r="I25" s="5">
        <v>22902</v>
      </c>
      <c r="J25" s="9">
        <f t="shared" ca="1" si="1"/>
        <v>63</v>
      </c>
      <c r="K25" s="9" t="str">
        <f t="shared" ca="1" si="2"/>
        <v>70-80</v>
      </c>
      <c r="L25" s="5">
        <f t="shared" ca="1" si="3"/>
        <v>45991</v>
      </c>
      <c r="M25" s="5" t="s">
        <v>373</v>
      </c>
      <c r="N25" t="s">
        <v>374</v>
      </c>
      <c r="O25" s="5">
        <v>39825</v>
      </c>
      <c r="P25" s="10" t="str">
        <f t="shared" si="4"/>
        <v>January</v>
      </c>
      <c r="Q25" s="9">
        <f t="shared" ca="1" si="5"/>
        <v>16</v>
      </c>
      <c r="R25">
        <v>1</v>
      </c>
      <c r="S25" t="str">
        <f t="shared" si="6"/>
        <v>Paid</v>
      </c>
      <c r="T25" t="str">
        <f t="shared" si="7"/>
        <v>Sandra Blake</v>
      </c>
      <c r="U25" t="str">
        <f t="shared" si="8"/>
        <v xml:space="preserve"> </v>
      </c>
      <c r="V25" s="18">
        <f>VLOOKUP(A25,'Staff Salary'!A24:B125,2)</f>
        <v>240</v>
      </c>
      <c r="W25" s="13">
        <f t="shared" si="9"/>
        <v>0</v>
      </c>
      <c r="X25" s="8">
        <v>0.2</v>
      </c>
    </row>
    <row r="26" spans="1:24">
      <c r="A26">
        <v>24</v>
      </c>
      <c r="B26" t="str">
        <f t="shared" si="0"/>
        <v>Shannon Carla</v>
      </c>
      <c r="C26" t="s">
        <v>220</v>
      </c>
      <c r="D26" t="s">
        <v>321</v>
      </c>
      <c r="E26" t="s">
        <v>67</v>
      </c>
      <c r="F26" t="s">
        <v>9</v>
      </c>
      <c r="G26" t="s">
        <v>68</v>
      </c>
      <c r="H26" t="s">
        <v>16</v>
      </c>
      <c r="I26" s="5">
        <v>29024</v>
      </c>
      <c r="J26" s="9">
        <f t="shared" ca="1" si="1"/>
        <v>46</v>
      </c>
      <c r="K26" s="9" t="str">
        <f t="shared" ca="1" si="2"/>
        <v>50-60</v>
      </c>
      <c r="L26" s="5">
        <f t="shared" ca="1" si="3"/>
        <v>45991</v>
      </c>
      <c r="M26" s="5" t="s">
        <v>373</v>
      </c>
      <c r="N26" t="s">
        <v>374</v>
      </c>
      <c r="O26" s="5">
        <v>39831</v>
      </c>
      <c r="P26" s="10" t="str">
        <f t="shared" si="4"/>
        <v>January</v>
      </c>
      <c r="Q26" s="9">
        <f t="shared" ca="1" si="5"/>
        <v>16</v>
      </c>
      <c r="R26">
        <v>0</v>
      </c>
      <c r="S26" t="str">
        <f t="shared" si="6"/>
        <v>Unpaid</v>
      </c>
      <c r="T26" t="str">
        <f t="shared" si="7"/>
        <v xml:space="preserve"> </v>
      </c>
      <c r="U26" t="str">
        <f t="shared" si="8"/>
        <v>Shannon Carla</v>
      </c>
      <c r="V26" s="18">
        <f>VLOOKUP(A26,'Staff Salary'!A25:B126,2)</f>
        <v>240</v>
      </c>
      <c r="W26" s="13">
        <f t="shared" si="9"/>
        <v>0</v>
      </c>
      <c r="X26" s="8">
        <v>0.2</v>
      </c>
    </row>
    <row r="27" spans="1:24">
      <c r="A27">
        <v>25</v>
      </c>
      <c r="B27" t="str">
        <f t="shared" si="0"/>
        <v>Stacey Carlos</v>
      </c>
      <c r="C27" t="s">
        <v>221</v>
      </c>
      <c r="D27" t="s">
        <v>322</v>
      </c>
      <c r="E27" t="s">
        <v>69</v>
      </c>
      <c r="F27" t="s">
        <v>9</v>
      </c>
      <c r="G27" t="s">
        <v>70</v>
      </c>
      <c r="H27" t="s">
        <v>46</v>
      </c>
      <c r="I27" s="5">
        <v>30323</v>
      </c>
      <c r="J27" s="9">
        <f t="shared" ca="1" si="1"/>
        <v>42</v>
      </c>
      <c r="K27" s="9" t="str">
        <f t="shared" ca="1" si="2"/>
        <v>50-60</v>
      </c>
      <c r="L27" s="5">
        <f t="shared" ca="1" si="3"/>
        <v>45991</v>
      </c>
      <c r="M27" s="5" t="s">
        <v>372</v>
      </c>
      <c r="N27" t="s">
        <v>373</v>
      </c>
      <c r="O27" s="5">
        <v>39847</v>
      </c>
      <c r="P27" s="10" t="str">
        <f t="shared" si="4"/>
        <v>February</v>
      </c>
      <c r="Q27" s="9">
        <f t="shared" ca="1" si="5"/>
        <v>16</v>
      </c>
      <c r="R27">
        <v>0</v>
      </c>
      <c r="S27" t="str">
        <f t="shared" si="6"/>
        <v>Unpaid</v>
      </c>
      <c r="T27" t="str">
        <f t="shared" si="7"/>
        <v xml:space="preserve"> </v>
      </c>
      <c r="U27" t="str">
        <f t="shared" si="8"/>
        <v>Stacey Carlos</v>
      </c>
      <c r="V27" s="18">
        <f>VLOOKUP(A27,'Staff Salary'!A26:B127,2)</f>
        <v>240</v>
      </c>
      <c r="W27" s="13">
        <f t="shared" si="9"/>
        <v>48</v>
      </c>
      <c r="X27" s="8">
        <v>0.2</v>
      </c>
    </row>
    <row r="28" spans="1:24">
      <c r="A28">
        <v>26</v>
      </c>
      <c r="B28" t="str">
        <f t="shared" si="0"/>
        <v>Steve Charles</v>
      </c>
      <c r="C28" t="s">
        <v>222</v>
      </c>
      <c r="D28" t="s">
        <v>323</v>
      </c>
      <c r="E28" t="s">
        <v>71</v>
      </c>
      <c r="F28" t="s">
        <v>9</v>
      </c>
      <c r="G28" t="s">
        <v>72</v>
      </c>
      <c r="H28" t="s">
        <v>16</v>
      </c>
      <c r="I28" s="5">
        <v>30258</v>
      </c>
      <c r="J28" s="9">
        <f t="shared" ca="1" si="1"/>
        <v>43</v>
      </c>
      <c r="K28" s="9" t="str">
        <f t="shared" ca="1" si="2"/>
        <v>50-60</v>
      </c>
      <c r="L28" s="5">
        <f t="shared" ca="1" si="3"/>
        <v>45991</v>
      </c>
      <c r="M28" s="5" t="s">
        <v>373</v>
      </c>
      <c r="N28" t="s">
        <v>373</v>
      </c>
      <c r="O28" s="5">
        <v>39783</v>
      </c>
      <c r="P28" s="10" t="str">
        <f t="shared" si="4"/>
        <v>December</v>
      </c>
      <c r="Q28" s="9">
        <f t="shared" ca="1" si="5"/>
        <v>16</v>
      </c>
      <c r="R28">
        <v>0</v>
      </c>
      <c r="S28" t="str">
        <f t="shared" si="6"/>
        <v>Unpaid</v>
      </c>
      <c r="T28" t="str">
        <f t="shared" si="7"/>
        <v xml:space="preserve"> </v>
      </c>
      <c r="U28" t="str">
        <f t="shared" si="8"/>
        <v>Steve Charles</v>
      </c>
      <c r="V28" s="18">
        <f>VLOOKUP(A28,'Staff Salary'!A27:B128,2)</f>
        <v>225</v>
      </c>
      <c r="W28" s="13">
        <f t="shared" si="9"/>
        <v>45</v>
      </c>
      <c r="X28" s="8">
        <v>0.2</v>
      </c>
    </row>
    <row r="29" spans="1:24">
      <c r="A29">
        <v>27</v>
      </c>
      <c r="B29" t="str">
        <f t="shared" si="0"/>
        <v>Susan Chloe</v>
      </c>
      <c r="C29" t="s">
        <v>223</v>
      </c>
      <c r="D29" t="s">
        <v>324</v>
      </c>
      <c r="E29" t="s">
        <v>73</v>
      </c>
      <c r="F29" t="s">
        <v>9</v>
      </c>
      <c r="G29" t="s">
        <v>74</v>
      </c>
      <c r="H29" t="s">
        <v>11</v>
      </c>
      <c r="I29" s="5">
        <v>20736</v>
      </c>
      <c r="J29" s="9">
        <f t="shared" ca="1" si="1"/>
        <v>69</v>
      </c>
      <c r="K29" s="9" t="str">
        <f t="shared" ca="1" si="2"/>
        <v>70-80</v>
      </c>
      <c r="L29" s="5">
        <f t="shared" ca="1" si="3"/>
        <v>45991</v>
      </c>
      <c r="M29" s="5" t="s">
        <v>372</v>
      </c>
      <c r="N29" t="s">
        <v>374</v>
      </c>
      <c r="O29" s="5">
        <v>39505</v>
      </c>
      <c r="P29" s="10" t="str">
        <f t="shared" si="4"/>
        <v>February</v>
      </c>
      <c r="Q29" s="9">
        <f t="shared" ca="1" si="5"/>
        <v>17</v>
      </c>
      <c r="R29">
        <v>1</v>
      </c>
      <c r="S29" t="str">
        <f t="shared" si="6"/>
        <v>Paid</v>
      </c>
      <c r="T29" t="str">
        <f t="shared" si="7"/>
        <v>Susan Chloe</v>
      </c>
      <c r="U29" t="str">
        <f t="shared" si="8"/>
        <v xml:space="preserve"> </v>
      </c>
      <c r="V29" s="18">
        <f>VLOOKUP(A29,'Staff Salary'!A28:B129,2)</f>
        <v>240</v>
      </c>
      <c r="W29" s="13">
        <f t="shared" si="9"/>
        <v>0</v>
      </c>
      <c r="X29" s="8">
        <v>0.2</v>
      </c>
    </row>
    <row r="30" spans="1:24">
      <c r="A30">
        <v>28</v>
      </c>
      <c r="B30" t="str">
        <f t="shared" si="0"/>
        <v>Suzanne Connor</v>
      </c>
      <c r="C30" t="s">
        <v>224</v>
      </c>
      <c r="D30" t="s">
        <v>325</v>
      </c>
      <c r="E30" t="s">
        <v>75</v>
      </c>
      <c r="F30" t="s">
        <v>9</v>
      </c>
      <c r="G30" t="s">
        <v>22</v>
      </c>
      <c r="H30" t="s">
        <v>23</v>
      </c>
      <c r="I30" s="5">
        <v>32215</v>
      </c>
      <c r="J30" s="9">
        <f t="shared" ca="1" si="1"/>
        <v>37</v>
      </c>
      <c r="K30" s="9" t="str">
        <f t="shared" ca="1" si="2"/>
        <v>40-50</v>
      </c>
      <c r="L30" s="5">
        <f t="shared" ca="1" si="3"/>
        <v>45991</v>
      </c>
      <c r="M30" s="5" t="s">
        <v>373</v>
      </c>
      <c r="N30" t="s">
        <v>373</v>
      </c>
      <c r="O30" s="5">
        <v>38898</v>
      </c>
      <c r="P30" s="10" t="str">
        <f t="shared" si="4"/>
        <v>June</v>
      </c>
      <c r="Q30" s="9">
        <f t="shared" ca="1" si="5"/>
        <v>19</v>
      </c>
      <c r="R30">
        <v>0</v>
      </c>
      <c r="S30" t="str">
        <f t="shared" si="6"/>
        <v>Unpaid</v>
      </c>
      <c r="T30" t="str">
        <f t="shared" si="7"/>
        <v xml:space="preserve"> </v>
      </c>
      <c r="U30" t="str">
        <f t="shared" si="8"/>
        <v>Suzanne Connor</v>
      </c>
      <c r="V30" s="18">
        <f>VLOOKUP(A30,'Staff Salary'!A29:B130,2)</f>
        <v>190</v>
      </c>
      <c r="W30" s="13">
        <f t="shared" si="9"/>
        <v>38</v>
      </c>
      <c r="X30" s="8">
        <v>0.2</v>
      </c>
    </row>
    <row r="31" spans="1:24">
      <c r="A31">
        <v>29</v>
      </c>
      <c r="B31" t="str">
        <f t="shared" si="0"/>
        <v>Tamara Courtney</v>
      </c>
      <c r="C31" t="s">
        <v>225</v>
      </c>
      <c r="D31" t="s">
        <v>326</v>
      </c>
      <c r="E31" t="s">
        <v>76</v>
      </c>
      <c r="F31" t="s">
        <v>5</v>
      </c>
      <c r="G31" t="s">
        <v>77</v>
      </c>
      <c r="H31" t="s">
        <v>78</v>
      </c>
      <c r="I31" s="5">
        <v>29123</v>
      </c>
      <c r="J31" s="9">
        <f t="shared" ca="1" si="1"/>
        <v>46</v>
      </c>
      <c r="K31" s="9" t="str">
        <f t="shared" ca="1" si="2"/>
        <v>50-60</v>
      </c>
      <c r="L31" s="5">
        <f t="shared" ca="1" si="3"/>
        <v>45991</v>
      </c>
      <c r="M31" s="5" t="s">
        <v>372</v>
      </c>
      <c r="N31" t="s">
        <v>373</v>
      </c>
      <c r="O31" s="5">
        <v>39836</v>
      </c>
      <c r="P31" s="10" t="str">
        <f t="shared" si="4"/>
        <v>January</v>
      </c>
      <c r="Q31" s="9">
        <f t="shared" ca="1" si="5"/>
        <v>16</v>
      </c>
      <c r="R31">
        <v>0</v>
      </c>
      <c r="S31" t="str">
        <f t="shared" si="6"/>
        <v>Unpaid</v>
      </c>
      <c r="T31" t="str">
        <f t="shared" si="7"/>
        <v xml:space="preserve"> </v>
      </c>
      <c r="U31" t="str">
        <f t="shared" si="8"/>
        <v>Tamara Courtney</v>
      </c>
      <c r="V31" s="18">
        <f>VLOOKUP(A31,'Staff Salary'!A30:B131,2)</f>
        <v>190</v>
      </c>
      <c r="W31" s="13">
        <f t="shared" si="9"/>
        <v>0</v>
      </c>
      <c r="X31" s="8">
        <v>0.2</v>
      </c>
    </row>
    <row r="32" spans="1:24">
      <c r="A32">
        <v>30</v>
      </c>
      <c r="B32" t="str">
        <f t="shared" si="0"/>
        <v>Tiffany Dalton</v>
      </c>
      <c r="C32" t="s">
        <v>226</v>
      </c>
      <c r="D32" t="s">
        <v>327</v>
      </c>
      <c r="E32" t="s">
        <v>79</v>
      </c>
      <c r="F32" t="s">
        <v>9</v>
      </c>
      <c r="G32" t="s">
        <v>80</v>
      </c>
      <c r="H32" t="s">
        <v>53</v>
      </c>
      <c r="I32" s="5">
        <v>32779</v>
      </c>
      <c r="J32" s="9">
        <f t="shared" ca="1" si="1"/>
        <v>36</v>
      </c>
      <c r="K32" s="9" t="str">
        <f t="shared" ca="1" si="2"/>
        <v>40-50</v>
      </c>
      <c r="L32" s="5">
        <f t="shared" ca="1" si="3"/>
        <v>45991</v>
      </c>
      <c r="M32" s="5" t="s">
        <v>373</v>
      </c>
      <c r="N32" t="s">
        <v>374</v>
      </c>
      <c r="O32" s="5">
        <v>39842</v>
      </c>
      <c r="P32" s="10" t="str">
        <f t="shared" si="4"/>
        <v>January</v>
      </c>
      <c r="Q32" s="9">
        <f t="shared" ca="1" si="5"/>
        <v>16</v>
      </c>
      <c r="R32">
        <v>1</v>
      </c>
      <c r="S32" t="str">
        <f t="shared" si="6"/>
        <v>Paid</v>
      </c>
      <c r="T32" t="str">
        <f t="shared" si="7"/>
        <v>Tiffany Dalton</v>
      </c>
      <c r="U32" t="str">
        <f t="shared" si="8"/>
        <v xml:space="preserve"> </v>
      </c>
      <c r="V32" s="18">
        <f>VLOOKUP(A32,'Staff Salary'!A31:B132,2)</f>
        <v>190</v>
      </c>
      <c r="W32" s="13">
        <f t="shared" si="9"/>
        <v>0</v>
      </c>
      <c r="X32" s="8">
        <v>0.2</v>
      </c>
    </row>
    <row r="33" spans="1:24">
      <c r="A33">
        <v>31</v>
      </c>
      <c r="B33" t="str">
        <f t="shared" si="0"/>
        <v>Trisha Devin</v>
      </c>
      <c r="C33" t="s">
        <v>227</v>
      </c>
      <c r="D33" t="s">
        <v>328</v>
      </c>
      <c r="E33" t="s">
        <v>81</v>
      </c>
      <c r="F33" t="s">
        <v>9</v>
      </c>
      <c r="G33" t="s">
        <v>82</v>
      </c>
      <c r="H33" t="s">
        <v>46</v>
      </c>
      <c r="I33" s="5">
        <v>31552</v>
      </c>
      <c r="J33" s="9">
        <f t="shared" ca="1" si="1"/>
        <v>39</v>
      </c>
      <c r="K33" s="9" t="str">
        <f t="shared" ca="1" si="2"/>
        <v>40-50</v>
      </c>
      <c r="L33" s="5">
        <f t="shared" ca="1" si="3"/>
        <v>45991</v>
      </c>
      <c r="M33" s="5" t="s">
        <v>373</v>
      </c>
      <c r="N33" t="s">
        <v>374</v>
      </c>
      <c r="O33" s="5">
        <v>39817</v>
      </c>
      <c r="P33" s="10" t="str">
        <f t="shared" si="4"/>
        <v>January</v>
      </c>
      <c r="Q33" s="9">
        <f t="shared" ca="1" si="5"/>
        <v>16</v>
      </c>
      <c r="R33">
        <v>1</v>
      </c>
      <c r="S33" t="str">
        <f t="shared" si="6"/>
        <v>Paid</v>
      </c>
      <c r="T33" t="str">
        <f t="shared" si="7"/>
        <v>Trisha Devin</v>
      </c>
      <c r="U33" t="str">
        <f t="shared" si="8"/>
        <v xml:space="preserve"> </v>
      </c>
      <c r="V33" s="18">
        <f>VLOOKUP(A33,'Staff Salary'!A32:B133,2)</f>
        <v>225</v>
      </c>
      <c r="W33" s="13">
        <f t="shared" si="9"/>
        <v>0</v>
      </c>
      <c r="X33" s="8">
        <v>0.2</v>
      </c>
    </row>
    <row r="34" spans="1:24">
      <c r="A34">
        <v>32</v>
      </c>
      <c r="B34" t="str">
        <f t="shared" si="0"/>
        <v>Valerie Eduardo</v>
      </c>
      <c r="C34" t="s">
        <v>228</v>
      </c>
      <c r="D34" t="s">
        <v>329</v>
      </c>
      <c r="E34" t="s">
        <v>83</v>
      </c>
      <c r="F34" t="s">
        <v>9</v>
      </c>
      <c r="G34" t="s">
        <v>84</v>
      </c>
      <c r="H34" t="s">
        <v>85</v>
      </c>
      <c r="I34" s="5">
        <v>28316</v>
      </c>
      <c r="J34" s="9">
        <f t="shared" ca="1" si="1"/>
        <v>48</v>
      </c>
      <c r="K34" s="9" t="str">
        <f t="shared" ca="1" si="2"/>
        <v>50-60</v>
      </c>
      <c r="L34" s="5">
        <f t="shared" ca="1" si="3"/>
        <v>45991</v>
      </c>
      <c r="M34" s="5" t="s">
        <v>373</v>
      </c>
      <c r="N34" t="s">
        <v>374</v>
      </c>
      <c r="O34" s="5">
        <v>39811</v>
      </c>
      <c r="P34" s="10" t="str">
        <f t="shared" si="4"/>
        <v>December</v>
      </c>
      <c r="Q34" s="9">
        <f t="shared" ca="1" si="5"/>
        <v>16</v>
      </c>
      <c r="R34">
        <v>1</v>
      </c>
      <c r="S34" t="str">
        <f t="shared" si="6"/>
        <v>Paid</v>
      </c>
      <c r="T34" t="str">
        <f t="shared" si="7"/>
        <v>Valerie Eduardo</v>
      </c>
      <c r="U34" t="str">
        <f t="shared" si="8"/>
        <v xml:space="preserve"> </v>
      </c>
      <c r="V34" s="18">
        <f>VLOOKUP(A34,'Staff Salary'!A33:B134,2)</f>
        <v>240</v>
      </c>
      <c r="W34" s="13">
        <f t="shared" si="9"/>
        <v>0</v>
      </c>
      <c r="X34" s="8">
        <v>0.2</v>
      </c>
    </row>
    <row r="35" spans="1:24">
      <c r="A35">
        <v>33</v>
      </c>
      <c r="B35" t="str">
        <f t="shared" si="0"/>
        <v>Vincent Edward</v>
      </c>
      <c r="C35" t="s">
        <v>229</v>
      </c>
      <c r="D35" t="s">
        <v>330</v>
      </c>
      <c r="E35" t="s">
        <v>86</v>
      </c>
      <c r="F35" t="s">
        <v>9</v>
      </c>
      <c r="G35" t="s">
        <v>82</v>
      </c>
      <c r="H35" t="s">
        <v>46</v>
      </c>
      <c r="I35" s="5">
        <v>28120</v>
      </c>
      <c r="J35" s="9">
        <f t="shared" ca="1" si="1"/>
        <v>48</v>
      </c>
      <c r="K35" s="9" t="str">
        <f t="shared" ca="1" si="2"/>
        <v>50-60</v>
      </c>
      <c r="L35" s="5">
        <f t="shared" ca="1" si="3"/>
        <v>45991</v>
      </c>
      <c r="M35" s="5" t="s">
        <v>373</v>
      </c>
      <c r="N35" t="s">
        <v>373</v>
      </c>
      <c r="O35" s="5">
        <v>39799</v>
      </c>
      <c r="P35" s="10" t="str">
        <f t="shared" si="4"/>
        <v>December</v>
      </c>
      <c r="Q35" s="9">
        <f t="shared" ca="1" si="5"/>
        <v>16</v>
      </c>
      <c r="R35">
        <v>0</v>
      </c>
      <c r="S35" t="str">
        <f t="shared" si="6"/>
        <v>Unpaid</v>
      </c>
      <c r="T35" t="str">
        <f t="shared" si="7"/>
        <v xml:space="preserve"> </v>
      </c>
      <c r="U35" t="str">
        <f t="shared" si="8"/>
        <v>Vincent Edward</v>
      </c>
      <c r="V35" s="18">
        <f>VLOOKUP(A35,'Staff Salary'!A34:B135,2)</f>
        <v>240</v>
      </c>
      <c r="W35" s="13">
        <f t="shared" si="9"/>
        <v>48</v>
      </c>
      <c r="X35" s="8">
        <v>0.2</v>
      </c>
    </row>
    <row r="36" spans="1:24">
      <c r="A36">
        <v>34</v>
      </c>
      <c r="B36" t="str">
        <f t="shared" si="0"/>
        <v>Warren Elijah</v>
      </c>
      <c r="C36" t="s">
        <v>230</v>
      </c>
      <c r="D36" t="s">
        <v>331</v>
      </c>
      <c r="E36" t="s">
        <v>87</v>
      </c>
      <c r="F36" t="s">
        <v>5</v>
      </c>
      <c r="G36" t="s">
        <v>88</v>
      </c>
      <c r="H36" t="s">
        <v>89</v>
      </c>
      <c r="I36" s="5">
        <v>31938</v>
      </c>
      <c r="J36" s="9">
        <f t="shared" ca="1" si="1"/>
        <v>38</v>
      </c>
      <c r="K36" s="9" t="str">
        <f t="shared" ca="1" si="2"/>
        <v>40-50</v>
      </c>
      <c r="L36" s="5">
        <f t="shared" ca="1" si="3"/>
        <v>45991</v>
      </c>
      <c r="M36" s="5" t="s">
        <v>373</v>
      </c>
      <c r="N36" t="s">
        <v>374</v>
      </c>
      <c r="O36" s="5">
        <v>39860</v>
      </c>
      <c r="P36" s="10" t="str">
        <f t="shared" si="4"/>
        <v>February</v>
      </c>
      <c r="Q36" s="9">
        <f t="shared" ca="1" si="5"/>
        <v>16</v>
      </c>
      <c r="R36">
        <v>0</v>
      </c>
      <c r="S36" t="str">
        <f t="shared" si="6"/>
        <v>Unpaid</v>
      </c>
      <c r="T36" t="str">
        <f t="shared" si="7"/>
        <v xml:space="preserve"> </v>
      </c>
      <c r="U36" t="str">
        <f t="shared" si="8"/>
        <v>Warren Elijah</v>
      </c>
      <c r="V36" s="18">
        <f>VLOOKUP(A36,'Staff Salary'!A35:B136,2)</f>
        <v>240</v>
      </c>
      <c r="W36" s="13">
        <f t="shared" si="9"/>
        <v>0</v>
      </c>
      <c r="X36" s="8">
        <v>0.2</v>
      </c>
    </row>
    <row r="37" spans="1:24">
      <c r="A37">
        <v>35</v>
      </c>
      <c r="B37" t="str">
        <f t="shared" si="0"/>
        <v>Wesley Eric</v>
      </c>
      <c r="C37" t="s">
        <v>231</v>
      </c>
      <c r="D37" t="s">
        <v>332</v>
      </c>
      <c r="E37" t="s">
        <v>90</v>
      </c>
      <c r="F37" t="s">
        <v>5</v>
      </c>
      <c r="G37" t="s">
        <v>91</v>
      </c>
      <c r="H37" t="s">
        <v>92</v>
      </c>
      <c r="I37" s="5">
        <v>28135</v>
      </c>
      <c r="J37" s="9">
        <f t="shared" ca="1" si="1"/>
        <v>48</v>
      </c>
      <c r="K37" s="9" t="str">
        <f t="shared" ca="1" si="2"/>
        <v>50-60</v>
      </c>
      <c r="L37" s="5">
        <f t="shared" ca="1" si="3"/>
        <v>45991</v>
      </c>
      <c r="M37" s="5" t="s">
        <v>373</v>
      </c>
      <c r="N37" t="s">
        <v>373</v>
      </c>
      <c r="O37" s="5">
        <v>39852</v>
      </c>
      <c r="P37" s="10" t="str">
        <f t="shared" si="4"/>
        <v>February</v>
      </c>
      <c r="Q37" s="9">
        <f t="shared" ca="1" si="5"/>
        <v>16</v>
      </c>
      <c r="R37">
        <v>0</v>
      </c>
      <c r="S37" t="str">
        <f t="shared" si="6"/>
        <v>Unpaid</v>
      </c>
      <c r="T37" t="str">
        <f t="shared" si="7"/>
        <v xml:space="preserve"> </v>
      </c>
      <c r="U37" t="str">
        <f t="shared" si="8"/>
        <v>Wesley Eric</v>
      </c>
      <c r="V37" s="18">
        <f>VLOOKUP(A37,'Staff Salary'!A36:B137,2)</f>
        <v>225</v>
      </c>
      <c r="W37" s="13">
        <f t="shared" si="9"/>
        <v>0</v>
      </c>
      <c r="X37" s="8">
        <v>0.2</v>
      </c>
    </row>
    <row r="38" spans="1:24">
      <c r="A38">
        <v>36</v>
      </c>
      <c r="B38" t="str">
        <f t="shared" si="0"/>
        <v>Alan Evan</v>
      </c>
      <c r="C38" t="s">
        <v>232</v>
      </c>
      <c r="D38" t="s">
        <v>295</v>
      </c>
      <c r="E38" t="s">
        <v>93</v>
      </c>
      <c r="F38" t="s">
        <v>9</v>
      </c>
      <c r="G38" t="s">
        <v>94</v>
      </c>
      <c r="H38" t="s">
        <v>53</v>
      </c>
      <c r="I38" s="5">
        <v>30894</v>
      </c>
      <c r="J38" s="9">
        <f t="shared" ca="1" si="1"/>
        <v>41</v>
      </c>
      <c r="K38" s="9" t="str">
        <f t="shared" ca="1" si="2"/>
        <v>50-60</v>
      </c>
      <c r="L38" s="5">
        <f t="shared" ca="1" si="3"/>
        <v>45991</v>
      </c>
      <c r="M38" s="5" t="s">
        <v>373</v>
      </c>
      <c r="N38" t="s">
        <v>373</v>
      </c>
      <c r="O38" s="5">
        <v>39854</v>
      </c>
      <c r="P38" s="10" t="str">
        <f t="shared" si="4"/>
        <v>February</v>
      </c>
      <c r="Q38" s="9">
        <f t="shared" ca="1" si="5"/>
        <v>16</v>
      </c>
      <c r="R38">
        <v>1</v>
      </c>
      <c r="S38" t="str">
        <f t="shared" si="6"/>
        <v>Paid</v>
      </c>
      <c r="T38" t="str">
        <f t="shared" si="7"/>
        <v>Alan Evan</v>
      </c>
      <c r="U38" t="str">
        <f t="shared" si="8"/>
        <v xml:space="preserve"> </v>
      </c>
      <c r="V38" s="18">
        <f>VLOOKUP(A38,'Staff Salary'!A37:B138,2)</f>
        <v>240</v>
      </c>
      <c r="W38" s="13">
        <f t="shared" si="9"/>
        <v>48</v>
      </c>
      <c r="X38" s="8">
        <v>0.2</v>
      </c>
    </row>
    <row r="39" spans="1:24">
      <c r="A39">
        <v>37</v>
      </c>
      <c r="B39" t="str">
        <f t="shared" si="0"/>
        <v>Alejandro Fernando</v>
      </c>
      <c r="C39" t="s">
        <v>233</v>
      </c>
      <c r="D39" t="s">
        <v>333</v>
      </c>
      <c r="E39" t="s">
        <v>95</v>
      </c>
      <c r="F39" t="s">
        <v>5</v>
      </c>
      <c r="G39" t="s">
        <v>96</v>
      </c>
      <c r="H39" t="s">
        <v>97</v>
      </c>
      <c r="I39" s="5">
        <v>31631</v>
      </c>
      <c r="J39" s="9">
        <f t="shared" ca="1" si="1"/>
        <v>39</v>
      </c>
      <c r="K39" s="9" t="str">
        <f t="shared" ca="1" si="2"/>
        <v>40-50</v>
      </c>
      <c r="L39" s="5">
        <f t="shared" ca="1" si="3"/>
        <v>45991</v>
      </c>
      <c r="M39" s="5" t="s">
        <v>372</v>
      </c>
      <c r="N39" t="s">
        <v>373</v>
      </c>
      <c r="O39" s="5">
        <v>39879</v>
      </c>
      <c r="P39" s="10" t="str">
        <f t="shared" si="4"/>
        <v>March</v>
      </c>
      <c r="Q39" s="9">
        <f t="shared" ca="1" si="5"/>
        <v>16</v>
      </c>
      <c r="R39">
        <v>1</v>
      </c>
      <c r="S39" t="str">
        <f t="shared" si="6"/>
        <v>Paid</v>
      </c>
      <c r="T39" t="str">
        <f t="shared" si="7"/>
        <v>Alejandro Fernando</v>
      </c>
      <c r="U39" t="str">
        <f t="shared" si="8"/>
        <v xml:space="preserve"> </v>
      </c>
      <c r="V39" s="18">
        <f>VLOOKUP(A39,'Staff Salary'!A38:B139,2)</f>
        <v>225</v>
      </c>
      <c r="W39" s="13">
        <f t="shared" si="9"/>
        <v>0</v>
      </c>
      <c r="X39" s="8">
        <v>0.2</v>
      </c>
    </row>
    <row r="40" spans="1:24">
      <c r="A40">
        <v>38</v>
      </c>
      <c r="B40" t="str">
        <f t="shared" si="0"/>
        <v>Alisha Frances</v>
      </c>
      <c r="C40" t="s">
        <v>234</v>
      </c>
      <c r="D40" t="s">
        <v>294</v>
      </c>
      <c r="E40" t="s">
        <v>98</v>
      </c>
      <c r="F40" t="s">
        <v>9</v>
      </c>
      <c r="G40" t="s">
        <v>99</v>
      </c>
      <c r="H40" t="s">
        <v>53</v>
      </c>
      <c r="I40" s="5">
        <v>24455</v>
      </c>
      <c r="J40" s="9">
        <f t="shared" ca="1" si="1"/>
        <v>58</v>
      </c>
      <c r="K40" s="9" t="str">
        <f t="shared" ca="1" si="2"/>
        <v>60-70</v>
      </c>
      <c r="L40" s="5">
        <f t="shared" ca="1" si="3"/>
        <v>45991</v>
      </c>
      <c r="M40" s="5" t="s">
        <v>373</v>
      </c>
      <c r="N40" t="s">
        <v>374</v>
      </c>
      <c r="O40" s="5">
        <v>40194</v>
      </c>
      <c r="P40" s="10" t="str">
        <f t="shared" si="4"/>
        <v>January</v>
      </c>
      <c r="Q40" s="9">
        <f t="shared" ca="1" si="5"/>
        <v>15</v>
      </c>
      <c r="R40">
        <v>1</v>
      </c>
      <c r="S40" t="str">
        <f t="shared" si="6"/>
        <v>Paid</v>
      </c>
      <c r="T40" t="str">
        <f t="shared" si="7"/>
        <v>Alisha Frances</v>
      </c>
      <c r="U40" t="str">
        <f t="shared" si="8"/>
        <v xml:space="preserve"> </v>
      </c>
      <c r="V40" s="18">
        <f>VLOOKUP(A40,'Staff Salary'!A39:B140,2)</f>
        <v>240</v>
      </c>
      <c r="W40" s="13">
        <f t="shared" si="9"/>
        <v>0</v>
      </c>
      <c r="X40" s="8">
        <v>0.2</v>
      </c>
    </row>
    <row r="41" spans="1:24">
      <c r="A41">
        <v>39</v>
      </c>
      <c r="B41" t="str">
        <f t="shared" si="0"/>
        <v>Alvin Gabriel</v>
      </c>
      <c r="C41" t="s">
        <v>235</v>
      </c>
      <c r="D41" t="s">
        <v>334</v>
      </c>
      <c r="E41" t="s">
        <v>100</v>
      </c>
      <c r="F41" t="s">
        <v>9</v>
      </c>
      <c r="G41" t="s">
        <v>101</v>
      </c>
      <c r="H41" t="s">
        <v>41</v>
      </c>
      <c r="I41" s="5">
        <v>26187</v>
      </c>
      <c r="J41" s="9">
        <f t="shared" ca="1" si="1"/>
        <v>54</v>
      </c>
      <c r="K41" s="9" t="str">
        <f t="shared" ca="1" si="2"/>
        <v>60-70</v>
      </c>
      <c r="L41" s="5">
        <f t="shared" ca="1" si="3"/>
        <v>45991</v>
      </c>
      <c r="M41" s="5" t="s">
        <v>372</v>
      </c>
      <c r="N41" t="s">
        <v>373</v>
      </c>
      <c r="O41" s="5">
        <v>40214</v>
      </c>
      <c r="P41" s="10" t="str">
        <f t="shared" si="4"/>
        <v>February</v>
      </c>
      <c r="Q41" s="9">
        <f t="shared" ca="1" si="5"/>
        <v>15</v>
      </c>
      <c r="R41">
        <v>0</v>
      </c>
      <c r="S41" t="str">
        <f t="shared" si="6"/>
        <v>Unpaid</v>
      </c>
      <c r="T41" t="str">
        <f t="shared" si="7"/>
        <v xml:space="preserve"> </v>
      </c>
      <c r="U41" t="str">
        <f t="shared" si="8"/>
        <v>Alvin Gabriel</v>
      </c>
      <c r="V41" s="18">
        <f>VLOOKUP(A41,'Staff Salary'!A40:B141,2)</f>
        <v>190</v>
      </c>
      <c r="W41" s="13">
        <f t="shared" si="9"/>
        <v>38</v>
      </c>
      <c r="X41" s="8">
        <v>0.2</v>
      </c>
    </row>
    <row r="42" spans="1:24">
      <c r="A42">
        <v>40</v>
      </c>
      <c r="B42" t="str">
        <f t="shared" si="0"/>
        <v>Amy Gabriella</v>
      </c>
      <c r="C42" t="s">
        <v>236</v>
      </c>
      <c r="D42" t="s">
        <v>335</v>
      </c>
      <c r="E42" t="s">
        <v>102</v>
      </c>
      <c r="F42" t="s">
        <v>9</v>
      </c>
      <c r="G42" t="s">
        <v>103</v>
      </c>
      <c r="H42" t="s">
        <v>41</v>
      </c>
      <c r="I42" s="5">
        <v>20470</v>
      </c>
      <c r="J42" s="9">
        <f t="shared" ca="1" si="1"/>
        <v>69</v>
      </c>
      <c r="K42" s="9" t="str">
        <f t="shared" ca="1" si="2"/>
        <v>70-80</v>
      </c>
      <c r="L42" s="5">
        <f t="shared" ca="1" si="3"/>
        <v>45991</v>
      </c>
      <c r="M42" s="5" t="s">
        <v>372</v>
      </c>
      <c r="N42" t="s">
        <v>374</v>
      </c>
      <c r="O42" s="5">
        <v>39442</v>
      </c>
      <c r="P42" s="10" t="str">
        <f t="shared" si="4"/>
        <v>December</v>
      </c>
      <c r="Q42" s="9">
        <f t="shared" ca="1" si="5"/>
        <v>17</v>
      </c>
      <c r="R42">
        <v>0</v>
      </c>
      <c r="S42" t="str">
        <f t="shared" si="6"/>
        <v>Unpaid</v>
      </c>
      <c r="T42" t="str">
        <f t="shared" si="7"/>
        <v xml:space="preserve"> </v>
      </c>
      <c r="U42" t="str">
        <f t="shared" si="8"/>
        <v>Amy Gabriella</v>
      </c>
      <c r="V42" s="18">
        <f>VLOOKUP(A42,'Staff Salary'!A41:B142,2)</f>
        <v>240</v>
      </c>
      <c r="W42" s="13">
        <f t="shared" si="9"/>
        <v>0</v>
      </c>
      <c r="X42" s="8">
        <v>0.2</v>
      </c>
    </row>
    <row r="43" spans="1:24">
      <c r="A43">
        <v>41</v>
      </c>
      <c r="B43" t="str">
        <f t="shared" si="0"/>
        <v>Arturo Gabrielle</v>
      </c>
      <c r="C43" t="s">
        <v>237</v>
      </c>
      <c r="D43" t="s">
        <v>336</v>
      </c>
      <c r="E43" t="s">
        <v>104</v>
      </c>
      <c r="F43" t="s">
        <v>9</v>
      </c>
      <c r="G43" t="s">
        <v>66</v>
      </c>
      <c r="H43" t="s">
        <v>53</v>
      </c>
      <c r="I43" s="5">
        <v>26903</v>
      </c>
      <c r="J43" s="9">
        <f t="shared" ca="1" si="1"/>
        <v>52</v>
      </c>
      <c r="K43" s="9" t="str">
        <f t="shared" ca="1" si="2"/>
        <v>60-70</v>
      </c>
      <c r="L43" s="5">
        <f t="shared" ca="1" si="3"/>
        <v>45991</v>
      </c>
      <c r="M43" s="5" t="s">
        <v>372</v>
      </c>
      <c r="N43" t="s">
        <v>373</v>
      </c>
      <c r="O43" s="5">
        <v>39834</v>
      </c>
      <c r="P43" s="10" t="str">
        <f t="shared" si="4"/>
        <v>January</v>
      </c>
      <c r="Q43" s="9">
        <f t="shared" ca="1" si="5"/>
        <v>16</v>
      </c>
      <c r="R43">
        <v>0</v>
      </c>
      <c r="S43" t="str">
        <f t="shared" si="6"/>
        <v>Unpaid</v>
      </c>
      <c r="T43" t="str">
        <f t="shared" si="7"/>
        <v xml:space="preserve"> </v>
      </c>
      <c r="U43" t="str">
        <f t="shared" si="8"/>
        <v>Arturo Gabrielle</v>
      </c>
      <c r="V43" s="18">
        <f>VLOOKUP(A43,'Staff Salary'!A42:B143,2)</f>
        <v>180</v>
      </c>
      <c r="W43" s="13">
        <f t="shared" si="9"/>
        <v>36</v>
      </c>
      <c r="X43" s="8">
        <v>0.2</v>
      </c>
    </row>
    <row r="44" spans="1:24">
      <c r="A44">
        <v>42</v>
      </c>
      <c r="B44" t="str">
        <f t="shared" si="0"/>
        <v>Autumn Hailey</v>
      </c>
      <c r="C44" t="s">
        <v>238</v>
      </c>
      <c r="D44" t="s">
        <v>337</v>
      </c>
      <c r="E44" t="s">
        <v>105</v>
      </c>
      <c r="F44" t="s">
        <v>5</v>
      </c>
      <c r="G44" t="s">
        <v>63</v>
      </c>
      <c r="H44" t="s">
        <v>64</v>
      </c>
      <c r="I44" s="5">
        <v>30888</v>
      </c>
      <c r="J44" s="9">
        <f t="shared" ca="1" si="1"/>
        <v>41</v>
      </c>
      <c r="K44" s="9" t="str">
        <f t="shared" ca="1" si="2"/>
        <v>50-60</v>
      </c>
      <c r="L44" s="5">
        <f t="shared" ca="1" si="3"/>
        <v>45991</v>
      </c>
      <c r="M44" s="5" t="s">
        <v>373</v>
      </c>
      <c r="N44" t="s">
        <v>373</v>
      </c>
      <c r="O44" s="5">
        <v>39809</v>
      </c>
      <c r="P44" s="10" t="str">
        <f t="shared" si="4"/>
        <v>December</v>
      </c>
      <c r="Q44" s="9">
        <f t="shared" ca="1" si="5"/>
        <v>16</v>
      </c>
      <c r="R44">
        <v>0</v>
      </c>
      <c r="S44" t="str">
        <f t="shared" si="6"/>
        <v>Unpaid</v>
      </c>
      <c r="T44" t="str">
        <f t="shared" si="7"/>
        <v xml:space="preserve"> </v>
      </c>
      <c r="U44" t="str">
        <f t="shared" si="8"/>
        <v>Autumn Hailey</v>
      </c>
      <c r="V44" s="18">
        <f>VLOOKUP(A44,'Staff Salary'!A43:B144,2)</f>
        <v>110</v>
      </c>
      <c r="W44" s="13">
        <f t="shared" si="9"/>
        <v>0</v>
      </c>
      <c r="X44" s="8">
        <v>0.2</v>
      </c>
    </row>
    <row r="45" spans="1:24">
      <c r="A45">
        <v>43</v>
      </c>
      <c r="B45" t="str">
        <f t="shared" si="0"/>
        <v>Barbara Haley</v>
      </c>
      <c r="C45" t="s">
        <v>239</v>
      </c>
      <c r="D45" t="s">
        <v>338</v>
      </c>
      <c r="E45" t="s">
        <v>106</v>
      </c>
      <c r="F45" t="s">
        <v>9</v>
      </c>
      <c r="G45" t="s">
        <v>107</v>
      </c>
      <c r="H45" t="s">
        <v>41</v>
      </c>
      <c r="I45" s="5">
        <v>32466</v>
      </c>
      <c r="J45" s="9">
        <f t="shared" ca="1" si="1"/>
        <v>37</v>
      </c>
      <c r="K45" s="9" t="str">
        <f t="shared" ca="1" si="2"/>
        <v>40-50</v>
      </c>
      <c r="L45" s="5">
        <f t="shared" ca="1" si="3"/>
        <v>45991</v>
      </c>
      <c r="M45" s="5" t="s">
        <v>373</v>
      </c>
      <c r="N45" t="s">
        <v>374</v>
      </c>
      <c r="O45" s="5">
        <v>39815</v>
      </c>
      <c r="P45" s="10" t="str">
        <f t="shared" si="4"/>
        <v>January</v>
      </c>
      <c r="Q45" s="9">
        <f t="shared" ca="1" si="5"/>
        <v>16</v>
      </c>
      <c r="R45">
        <v>0</v>
      </c>
      <c r="S45" t="str">
        <f t="shared" si="6"/>
        <v>Unpaid</v>
      </c>
      <c r="T45" t="str">
        <f t="shared" si="7"/>
        <v xml:space="preserve"> </v>
      </c>
      <c r="U45" t="str">
        <f t="shared" si="8"/>
        <v>Barbara Haley</v>
      </c>
      <c r="V45" s="18">
        <f>VLOOKUP(A45,'Staff Salary'!A44:B145,2)</f>
        <v>190</v>
      </c>
      <c r="W45" s="13">
        <f t="shared" si="9"/>
        <v>0</v>
      </c>
      <c r="X45" s="8">
        <v>0.2</v>
      </c>
    </row>
    <row r="46" spans="1:24">
      <c r="A46">
        <v>44</v>
      </c>
      <c r="B46" t="str">
        <f t="shared" si="0"/>
        <v>Bianca Hunter</v>
      </c>
      <c r="C46" t="s">
        <v>240</v>
      </c>
      <c r="D46" t="s">
        <v>339</v>
      </c>
      <c r="E46" t="s">
        <v>108</v>
      </c>
      <c r="F46" t="s">
        <v>5</v>
      </c>
      <c r="G46" t="s">
        <v>91</v>
      </c>
      <c r="H46" t="s">
        <v>92</v>
      </c>
      <c r="I46" s="5">
        <v>33010</v>
      </c>
      <c r="J46" s="9">
        <f t="shared" ca="1" si="1"/>
        <v>35</v>
      </c>
      <c r="K46" s="9" t="str">
        <f t="shared" ca="1" si="2"/>
        <v>40-50</v>
      </c>
      <c r="L46" s="5">
        <f t="shared" ca="1" si="3"/>
        <v>45991</v>
      </c>
      <c r="M46" s="5" t="s">
        <v>372</v>
      </c>
      <c r="N46" t="s">
        <v>373</v>
      </c>
      <c r="O46" s="5">
        <v>39790</v>
      </c>
      <c r="P46" s="10" t="str">
        <f t="shared" si="4"/>
        <v>December</v>
      </c>
      <c r="Q46" s="9">
        <f t="shared" ca="1" si="5"/>
        <v>16</v>
      </c>
      <c r="R46">
        <v>1</v>
      </c>
      <c r="S46" t="str">
        <f t="shared" si="6"/>
        <v>Paid</v>
      </c>
      <c r="T46" t="str">
        <f t="shared" si="7"/>
        <v>Bianca Hunter</v>
      </c>
      <c r="U46" t="str">
        <f t="shared" si="8"/>
        <v xml:space="preserve"> </v>
      </c>
      <c r="V46" s="18">
        <f>VLOOKUP(A46,'Staff Salary'!A45:B146,2)</f>
        <v>296</v>
      </c>
      <c r="W46" s="13">
        <f t="shared" si="9"/>
        <v>0</v>
      </c>
      <c r="X46" s="8">
        <v>0.2</v>
      </c>
    </row>
    <row r="47" spans="1:24">
      <c r="A47">
        <v>45</v>
      </c>
      <c r="B47" t="str">
        <f t="shared" si="0"/>
        <v>Brent Ian</v>
      </c>
      <c r="C47" t="s">
        <v>241</v>
      </c>
      <c r="D47" t="s">
        <v>340</v>
      </c>
      <c r="E47" t="s">
        <v>109</v>
      </c>
      <c r="F47" t="s">
        <v>5</v>
      </c>
      <c r="G47" t="s">
        <v>110</v>
      </c>
      <c r="H47" t="s">
        <v>111</v>
      </c>
      <c r="I47" s="5">
        <v>31422</v>
      </c>
      <c r="J47" s="9">
        <f t="shared" ca="1" si="1"/>
        <v>39</v>
      </c>
      <c r="K47" s="9" t="str">
        <f t="shared" ca="1" si="2"/>
        <v>40-50</v>
      </c>
      <c r="L47" s="5">
        <f t="shared" ca="1" si="3"/>
        <v>45991</v>
      </c>
      <c r="M47" s="5" t="s">
        <v>373</v>
      </c>
      <c r="N47" t="s">
        <v>373</v>
      </c>
      <c r="O47" s="5">
        <v>39870</v>
      </c>
      <c r="P47" s="10" t="str">
        <f t="shared" si="4"/>
        <v>February</v>
      </c>
      <c r="Q47" s="9">
        <f t="shared" ca="1" si="5"/>
        <v>16</v>
      </c>
      <c r="R47">
        <v>0</v>
      </c>
      <c r="S47" t="str">
        <f t="shared" si="6"/>
        <v>Unpaid</v>
      </c>
      <c r="T47" t="str">
        <f t="shared" si="7"/>
        <v xml:space="preserve"> </v>
      </c>
      <c r="U47" t="str">
        <f t="shared" si="8"/>
        <v>Brent Ian</v>
      </c>
      <c r="V47" s="18">
        <f>VLOOKUP(A47,'Staff Salary'!A46:B147,2)</f>
        <v>610</v>
      </c>
      <c r="W47" s="13">
        <f t="shared" si="9"/>
        <v>0</v>
      </c>
      <c r="X47" s="8">
        <v>0.2</v>
      </c>
    </row>
    <row r="48" spans="1:24">
      <c r="A48">
        <v>46</v>
      </c>
      <c r="B48" t="str">
        <f t="shared" si="0"/>
        <v>Brittney Isaac</v>
      </c>
      <c r="C48" t="s">
        <v>242</v>
      </c>
      <c r="D48" t="s">
        <v>341</v>
      </c>
      <c r="E48" t="s">
        <v>112</v>
      </c>
      <c r="F48" t="s">
        <v>9</v>
      </c>
      <c r="G48" t="s">
        <v>113</v>
      </c>
      <c r="H48" t="s">
        <v>16</v>
      </c>
      <c r="I48" s="5">
        <v>27800</v>
      </c>
      <c r="J48" s="9">
        <f t="shared" ca="1" si="1"/>
        <v>49</v>
      </c>
      <c r="K48" s="9" t="str">
        <f t="shared" ca="1" si="2"/>
        <v>50-60</v>
      </c>
      <c r="L48" s="5">
        <f t="shared" ca="1" si="3"/>
        <v>45991</v>
      </c>
      <c r="M48" s="5" t="s">
        <v>372</v>
      </c>
      <c r="N48" t="s">
        <v>373</v>
      </c>
      <c r="O48" s="5">
        <v>39852</v>
      </c>
      <c r="P48" s="10" t="str">
        <f t="shared" si="4"/>
        <v>February</v>
      </c>
      <c r="Q48" s="9">
        <f t="shared" ca="1" si="5"/>
        <v>16</v>
      </c>
      <c r="R48">
        <v>1</v>
      </c>
      <c r="S48" t="str">
        <f t="shared" si="6"/>
        <v>Paid</v>
      </c>
      <c r="T48" t="str">
        <f t="shared" si="7"/>
        <v>Brittney Isaac</v>
      </c>
      <c r="U48" t="str">
        <f t="shared" si="8"/>
        <v xml:space="preserve"> </v>
      </c>
      <c r="V48" s="18">
        <f>VLOOKUP(A48,'Staff Salary'!A47:B148,2)</f>
        <v>240</v>
      </c>
      <c r="W48" s="13">
        <f t="shared" si="9"/>
        <v>48</v>
      </c>
      <c r="X48" s="8">
        <v>0.2</v>
      </c>
    </row>
    <row r="49" spans="1:24">
      <c r="A49">
        <v>47</v>
      </c>
      <c r="B49" t="str">
        <f t="shared" si="0"/>
        <v>Candice Isabella</v>
      </c>
      <c r="C49" t="s">
        <v>243</v>
      </c>
      <c r="D49" t="s">
        <v>342</v>
      </c>
      <c r="E49" t="s">
        <v>114</v>
      </c>
      <c r="F49" t="s">
        <v>9</v>
      </c>
      <c r="G49" t="s">
        <v>115</v>
      </c>
      <c r="H49" t="s">
        <v>16</v>
      </c>
      <c r="I49" s="5">
        <v>32392</v>
      </c>
      <c r="J49" s="9">
        <f t="shared" ca="1" si="1"/>
        <v>37</v>
      </c>
      <c r="K49" s="9" t="str">
        <f t="shared" ca="1" si="2"/>
        <v>40-50</v>
      </c>
      <c r="L49" s="5">
        <f t="shared" ca="1" si="3"/>
        <v>45991</v>
      </c>
      <c r="M49" s="5" t="s">
        <v>372</v>
      </c>
      <c r="N49" t="s">
        <v>373</v>
      </c>
      <c r="O49" s="5">
        <v>39866</v>
      </c>
      <c r="P49" s="10" t="str">
        <f t="shared" si="4"/>
        <v>February</v>
      </c>
      <c r="Q49" s="9">
        <f t="shared" ca="1" si="5"/>
        <v>16</v>
      </c>
      <c r="R49">
        <v>0</v>
      </c>
      <c r="S49" t="str">
        <f t="shared" si="6"/>
        <v>Unpaid</v>
      </c>
      <c r="T49" t="str">
        <f t="shared" si="7"/>
        <v xml:space="preserve"> </v>
      </c>
      <c r="U49" t="str">
        <f t="shared" si="8"/>
        <v>Candice Isabella</v>
      </c>
      <c r="V49" s="18">
        <f>VLOOKUP(A49,'Staff Salary'!A48:B149,2)</f>
        <v>110</v>
      </c>
      <c r="W49" s="13">
        <f t="shared" si="9"/>
        <v>22</v>
      </c>
      <c r="X49" s="8">
        <v>0.2</v>
      </c>
    </row>
    <row r="50" spans="1:24">
      <c r="A50">
        <v>48</v>
      </c>
      <c r="B50" t="str">
        <f t="shared" si="0"/>
        <v>Cedric Isaiah</v>
      </c>
      <c r="C50" t="s">
        <v>244</v>
      </c>
      <c r="D50" t="s">
        <v>343</v>
      </c>
      <c r="E50" t="s">
        <v>116</v>
      </c>
      <c r="F50" t="s">
        <v>9</v>
      </c>
      <c r="G50" t="s">
        <v>117</v>
      </c>
      <c r="H50" t="s">
        <v>53</v>
      </c>
      <c r="I50" s="5">
        <v>20610</v>
      </c>
      <c r="J50" s="9">
        <f t="shared" ca="1" si="1"/>
        <v>69</v>
      </c>
      <c r="K50" s="9" t="str">
        <f t="shared" ca="1" si="2"/>
        <v>70-80</v>
      </c>
      <c r="L50" s="5">
        <f t="shared" ca="1" si="3"/>
        <v>45991</v>
      </c>
      <c r="M50" s="5" t="s">
        <v>373</v>
      </c>
      <c r="N50" t="s">
        <v>374</v>
      </c>
      <c r="O50" s="5">
        <v>39453</v>
      </c>
      <c r="P50" s="10" t="str">
        <f t="shared" si="4"/>
        <v>January</v>
      </c>
      <c r="Q50" s="9">
        <f t="shared" ca="1" si="5"/>
        <v>17</v>
      </c>
      <c r="R50">
        <v>1</v>
      </c>
      <c r="S50" t="str">
        <f t="shared" si="6"/>
        <v>Paid</v>
      </c>
      <c r="T50" t="str">
        <f t="shared" si="7"/>
        <v>Cedric Isaiah</v>
      </c>
      <c r="U50" t="str">
        <f t="shared" si="8"/>
        <v xml:space="preserve"> </v>
      </c>
      <c r="V50" s="18">
        <f>VLOOKUP(A50,'Staff Salary'!A49:B150,2)</f>
        <v>120</v>
      </c>
      <c r="W50" s="13">
        <f t="shared" si="9"/>
        <v>0</v>
      </c>
      <c r="X50" s="8">
        <v>0.2</v>
      </c>
    </row>
    <row r="51" spans="1:24">
      <c r="A51">
        <v>49</v>
      </c>
      <c r="B51" t="str">
        <f t="shared" si="0"/>
        <v>Christy Jack</v>
      </c>
      <c r="C51" t="s">
        <v>245</v>
      </c>
      <c r="D51" t="s">
        <v>344</v>
      </c>
      <c r="E51" t="s">
        <v>118</v>
      </c>
      <c r="F51" t="s">
        <v>9</v>
      </c>
      <c r="G51" t="s">
        <v>22</v>
      </c>
      <c r="H51" t="s">
        <v>23</v>
      </c>
      <c r="I51" s="5">
        <v>20540</v>
      </c>
      <c r="J51" s="9">
        <f t="shared" ca="1" si="1"/>
        <v>69</v>
      </c>
      <c r="K51" s="9" t="str">
        <f t="shared" ca="1" si="2"/>
        <v>70-80</v>
      </c>
      <c r="L51" s="5">
        <f t="shared" ca="1" si="3"/>
        <v>45991</v>
      </c>
      <c r="M51" s="5" t="s">
        <v>372</v>
      </c>
      <c r="N51" t="s">
        <v>373</v>
      </c>
      <c r="O51" s="5">
        <v>39454</v>
      </c>
      <c r="P51" s="10" t="str">
        <f t="shared" si="4"/>
        <v>January</v>
      </c>
      <c r="Q51" s="9">
        <f t="shared" ca="1" si="5"/>
        <v>17</v>
      </c>
      <c r="R51">
        <v>1</v>
      </c>
      <c r="S51" t="str">
        <f t="shared" si="6"/>
        <v>Paid</v>
      </c>
      <c r="T51" t="str">
        <f t="shared" si="7"/>
        <v>Christy Jack</v>
      </c>
      <c r="U51" t="str">
        <f t="shared" si="8"/>
        <v xml:space="preserve"> </v>
      </c>
      <c r="V51" s="18">
        <f>VLOOKUP(A51,'Staff Salary'!A50:B151,2)</f>
        <v>190</v>
      </c>
      <c r="W51" s="13">
        <f t="shared" si="9"/>
        <v>38</v>
      </c>
      <c r="X51" s="8">
        <v>0.2</v>
      </c>
    </row>
    <row r="52" spans="1:24">
      <c r="A52">
        <v>50</v>
      </c>
      <c r="B52" t="str">
        <f t="shared" si="0"/>
        <v>Clarence Jackson</v>
      </c>
      <c r="C52" t="s">
        <v>246</v>
      </c>
      <c r="D52" t="s">
        <v>345</v>
      </c>
      <c r="E52" t="s">
        <v>119</v>
      </c>
      <c r="F52" t="s">
        <v>18</v>
      </c>
      <c r="G52" t="s">
        <v>19</v>
      </c>
      <c r="H52" t="s">
        <v>20</v>
      </c>
      <c r="I52" s="5">
        <v>20697</v>
      </c>
      <c r="J52" s="9">
        <f t="shared" ca="1" si="1"/>
        <v>69</v>
      </c>
      <c r="K52" s="9" t="str">
        <f t="shared" ca="1" si="2"/>
        <v>70-80</v>
      </c>
      <c r="L52" s="5">
        <f t="shared" ca="1" si="3"/>
        <v>45991</v>
      </c>
      <c r="M52" s="5" t="s">
        <v>373</v>
      </c>
      <c r="N52" t="s">
        <v>373</v>
      </c>
      <c r="O52" s="5">
        <v>39480</v>
      </c>
      <c r="P52" s="10" t="str">
        <f t="shared" si="4"/>
        <v>February</v>
      </c>
      <c r="Q52" s="9">
        <f t="shared" ca="1" si="5"/>
        <v>17</v>
      </c>
      <c r="R52">
        <v>0</v>
      </c>
      <c r="S52" t="str">
        <f t="shared" si="6"/>
        <v>Unpaid</v>
      </c>
      <c r="T52" t="str">
        <f t="shared" si="7"/>
        <v xml:space="preserve"> </v>
      </c>
      <c r="U52" t="str">
        <f t="shared" si="8"/>
        <v>Clarence Jackson</v>
      </c>
      <c r="V52" s="18">
        <f>VLOOKUP(A52,'Staff Salary'!A51:B152,2)</f>
        <v>610</v>
      </c>
      <c r="W52" s="13">
        <f t="shared" si="9"/>
        <v>0</v>
      </c>
      <c r="X52" s="8">
        <v>0.2</v>
      </c>
    </row>
    <row r="53" spans="1:24">
      <c r="A53">
        <v>51</v>
      </c>
      <c r="B53" t="str">
        <f t="shared" si="0"/>
        <v>Clayton Jada</v>
      </c>
      <c r="C53" t="s">
        <v>247</v>
      </c>
      <c r="D53" t="s">
        <v>346</v>
      </c>
      <c r="E53" t="s">
        <v>120</v>
      </c>
      <c r="F53" t="s">
        <v>9</v>
      </c>
      <c r="G53" t="s">
        <v>121</v>
      </c>
      <c r="H53" t="s">
        <v>11</v>
      </c>
      <c r="I53" s="5">
        <v>20647</v>
      </c>
      <c r="J53" s="9">
        <f t="shared" ca="1" si="1"/>
        <v>69</v>
      </c>
      <c r="K53" s="9" t="str">
        <f t="shared" ca="1" si="2"/>
        <v>70-80</v>
      </c>
      <c r="L53" s="5">
        <f t="shared" ca="1" si="3"/>
        <v>45991</v>
      </c>
      <c r="M53" s="5" t="s">
        <v>372</v>
      </c>
      <c r="N53" t="s">
        <v>373</v>
      </c>
      <c r="O53" s="5">
        <v>39498</v>
      </c>
      <c r="P53" s="10" t="str">
        <f t="shared" si="4"/>
        <v>February</v>
      </c>
      <c r="Q53" s="9">
        <f t="shared" ca="1" si="5"/>
        <v>17</v>
      </c>
      <c r="R53">
        <v>0</v>
      </c>
      <c r="S53" t="str">
        <f t="shared" si="6"/>
        <v>Unpaid</v>
      </c>
      <c r="T53" t="str">
        <f t="shared" si="7"/>
        <v xml:space="preserve"> </v>
      </c>
      <c r="U53" t="str">
        <f t="shared" si="8"/>
        <v>Clayton Jada</v>
      </c>
      <c r="V53" s="18">
        <f>VLOOKUP(A53,'Staff Salary'!A52:B153,2)</f>
        <v>110</v>
      </c>
      <c r="W53" s="13">
        <f t="shared" si="9"/>
        <v>22</v>
      </c>
      <c r="X53" s="8">
        <v>0.2</v>
      </c>
    </row>
    <row r="54" spans="1:24">
      <c r="A54">
        <v>52</v>
      </c>
      <c r="B54" t="str">
        <f t="shared" si="0"/>
        <v>Colin James</v>
      </c>
      <c r="C54" t="s">
        <v>248</v>
      </c>
      <c r="D54" t="s">
        <v>347</v>
      </c>
      <c r="E54" t="s">
        <v>122</v>
      </c>
      <c r="F54" t="s">
        <v>9</v>
      </c>
      <c r="G54" t="s">
        <v>123</v>
      </c>
      <c r="H54" t="s">
        <v>11</v>
      </c>
      <c r="I54" s="5">
        <v>20549</v>
      </c>
      <c r="J54" s="9">
        <f t="shared" ca="1" si="1"/>
        <v>69</v>
      </c>
      <c r="K54" s="9" t="str">
        <f t="shared" ca="1" si="2"/>
        <v>70-80</v>
      </c>
      <c r="L54" s="5">
        <f t="shared" ca="1" si="3"/>
        <v>45991</v>
      </c>
      <c r="M54" s="5" t="s">
        <v>373</v>
      </c>
      <c r="N54" t="s">
        <v>374</v>
      </c>
      <c r="O54" s="5">
        <v>39517</v>
      </c>
      <c r="P54" s="10" t="str">
        <f t="shared" si="4"/>
        <v>March</v>
      </c>
      <c r="Q54" s="9">
        <f t="shared" ca="1" si="5"/>
        <v>17</v>
      </c>
      <c r="R54">
        <v>1</v>
      </c>
      <c r="S54" t="str">
        <f t="shared" si="6"/>
        <v>Paid</v>
      </c>
      <c r="T54" t="str">
        <f t="shared" si="7"/>
        <v>Colin James</v>
      </c>
      <c r="U54" t="str">
        <f t="shared" si="8"/>
        <v xml:space="preserve"> </v>
      </c>
      <c r="V54" s="18">
        <f>VLOOKUP(A54,'Staff Salary'!A53:B154,2)</f>
        <v>120</v>
      </c>
      <c r="W54" s="13">
        <f t="shared" si="9"/>
        <v>0</v>
      </c>
      <c r="X54" s="8">
        <v>0.2</v>
      </c>
    </row>
    <row r="55" spans="1:24">
      <c r="A55">
        <v>53</v>
      </c>
      <c r="B55" t="str">
        <f t="shared" si="0"/>
        <v>Colleen Jason</v>
      </c>
      <c r="C55" t="s">
        <v>249</v>
      </c>
      <c r="D55" t="s">
        <v>348</v>
      </c>
      <c r="E55" t="s">
        <v>124</v>
      </c>
      <c r="F55" t="s">
        <v>9</v>
      </c>
      <c r="G55" t="s">
        <v>72</v>
      </c>
      <c r="H55" t="s">
        <v>16</v>
      </c>
      <c r="I55" s="5">
        <v>20543</v>
      </c>
      <c r="J55" s="9">
        <f t="shared" ca="1" si="1"/>
        <v>69</v>
      </c>
      <c r="K55" s="9" t="str">
        <f t="shared" ca="1" si="2"/>
        <v>70-80</v>
      </c>
      <c r="L55" s="5">
        <f t="shared" ca="1" si="3"/>
        <v>45991</v>
      </c>
      <c r="M55" s="5" t="s">
        <v>373</v>
      </c>
      <c r="N55" t="s">
        <v>374</v>
      </c>
      <c r="O55" s="5">
        <v>39535</v>
      </c>
      <c r="P55" s="10" t="str">
        <f t="shared" si="4"/>
        <v>March</v>
      </c>
      <c r="Q55" s="9">
        <f t="shared" ca="1" si="5"/>
        <v>17</v>
      </c>
      <c r="R55">
        <v>0</v>
      </c>
      <c r="S55" t="str">
        <f t="shared" si="6"/>
        <v>Unpaid</v>
      </c>
      <c r="T55" t="str">
        <f t="shared" si="7"/>
        <v xml:space="preserve"> </v>
      </c>
      <c r="U55" t="str">
        <f t="shared" si="8"/>
        <v>Colleen Jason</v>
      </c>
      <c r="V55" s="18">
        <f>VLOOKUP(A55,'Staff Salary'!A54:B155,2)</f>
        <v>110</v>
      </c>
      <c r="W55" s="13">
        <f t="shared" si="9"/>
        <v>0</v>
      </c>
      <c r="X55" s="8">
        <v>0.2</v>
      </c>
    </row>
    <row r="56" spans="1:24">
      <c r="A56">
        <v>54</v>
      </c>
      <c r="B56" t="str">
        <f t="shared" si="0"/>
        <v>Crystal Jay</v>
      </c>
      <c r="C56" t="s">
        <v>250</v>
      </c>
      <c r="D56" t="s">
        <v>349</v>
      </c>
      <c r="E56" t="s">
        <v>125</v>
      </c>
      <c r="F56" t="s">
        <v>9</v>
      </c>
      <c r="G56" t="s">
        <v>82</v>
      </c>
      <c r="H56" t="s">
        <v>46</v>
      </c>
      <c r="I56" s="5">
        <v>31665</v>
      </c>
      <c r="J56" s="9">
        <f t="shared" ca="1" si="1"/>
        <v>39</v>
      </c>
      <c r="K56" s="9" t="str">
        <f t="shared" ca="1" si="2"/>
        <v>40-50</v>
      </c>
      <c r="L56" s="5">
        <f t="shared" ca="1" si="3"/>
        <v>45991</v>
      </c>
      <c r="M56" s="5" t="s">
        <v>373</v>
      </c>
      <c r="N56" t="s">
        <v>374</v>
      </c>
      <c r="O56" s="5">
        <v>40179</v>
      </c>
      <c r="P56" s="10" t="str">
        <f t="shared" si="4"/>
        <v>January</v>
      </c>
      <c r="Q56" s="9">
        <f t="shared" ca="1" si="5"/>
        <v>15</v>
      </c>
      <c r="R56">
        <v>1</v>
      </c>
      <c r="S56" t="str">
        <f t="shared" si="6"/>
        <v>Paid</v>
      </c>
      <c r="T56" t="str">
        <f t="shared" si="7"/>
        <v>Crystal Jay</v>
      </c>
      <c r="U56" t="str">
        <f t="shared" si="8"/>
        <v xml:space="preserve"> </v>
      </c>
      <c r="V56" s="18">
        <f>VLOOKUP(A56,'Staff Salary'!A55:B156,2)</f>
        <v>190</v>
      </c>
      <c r="W56" s="13">
        <f t="shared" si="9"/>
        <v>0</v>
      </c>
      <c r="X56" s="8">
        <v>0.2</v>
      </c>
    </row>
    <row r="57" spans="1:24">
      <c r="A57">
        <v>55</v>
      </c>
      <c r="B57" t="str">
        <f t="shared" si="0"/>
        <v>Damien Jay</v>
      </c>
      <c r="C57" t="s">
        <v>250</v>
      </c>
      <c r="D57" t="s">
        <v>350</v>
      </c>
      <c r="E57" t="s">
        <v>126</v>
      </c>
      <c r="F57" t="s">
        <v>5</v>
      </c>
      <c r="G57" t="s">
        <v>127</v>
      </c>
      <c r="H57" t="s">
        <v>111</v>
      </c>
      <c r="I57" s="5">
        <v>20546</v>
      </c>
      <c r="J57" s="9">
        <f t="shared" ca="1" si="1"/>
        <v>69</v>
      </c>
      <c r="K57" s="9" t="str">
        <f t="shared" ca="1" si="2"/>
        <v>70-80</v>
      </c>
      <c r="L57" s="5">
        <f t="shared" ca="1" si="3"/>
        <v>45991</v>
      </c>
      <c r="M57" s="5" t="s">
        <v>373</v>
      </c>
      <c r="N57" t="s">
        <v>373</v>
      </c>
      <c r="O57" s="5">
        <v>39486</v>
      </c>
      <c r="P57" s="10" t="str">
        <f t="shared" si="4"/>
        <v>February</v>
      </c>
      <c r="Q57" s="9">
        <f t="shared" ca="1" si="5"/>
        <v>17</v>
      </c>
      <c r="R57">
        <v>0</v>
      </c>
      <c r="S57" t="str">
        <f t="shared" si="6"/>
        <v>Unpaid</v>
      </c>
      <c r="T57" t="str">
        <f t="shared" si="7"/>
        <v xml:space="preserve"> </v>
      </c>
      <c r="U57" t="str">
        <f t="shared" si="8"/>
        <v>Damien Jay</v>
      </c>
      <c r="V57" s="18">
        <f>VLOOKUP(A57,'Staff Salary'!A56:B157,2)</f>
        <v>610</v>
      </c>
      <c r="W57" s="13">
        <f t="shared" si="9"/>
        <v>0</v>
      </c>
      <c r="X57" s="8">
        <v>0.2</v>
      </c>
    </row>
    <row r="58" spans="1:24">
      <c r="A58">
        <v>56</v>
      </c>
      <c r="B58" t="str">
        <f t="shared" si="0"/>
        <v>Dawn Jenna</v>
      </c>
      <c r="C58" t="s">
        <v>251</v>
      </c>
      <c r="D58" t="s">
        <v>351</v>
      </c>
      <c r="E58" t="s">
        <v>128</v>
      </c>
      <c r="F58" t="s">
        <v>9</v>
      </c>
      <c r="G58" t="s">
        <v>15</v>
      </c>
      <c r="H58" t="s">
        <v>16</v>
      </c>
      <c r="I58" s="5">
        <v>32330</v>
      </c>
      <c r="J58" s="9">
        <f t="shared" ca="1" si="1"/>
        <v>37</v>
      </c>
      <c r="K58" s="9" t="str">
        <f t="shared" ca="1" si="2"/>
        <v>40-50</v>
      </c>
      <c r="L58" s="5">
        <f t="shared" ca="1" si="3"/>
        <v>45991</v>
      </c>
      <c r="M58" s="5" t="s">
        <v>373</v>
      </c>
      <c r="N58" t="s">
        <v>374</v>
      </c>
      <c r="O58" s="5">
        <v>39849</v>
      </c>
      <c r="P58" s="10" t="str">
        <f t="shared" si="4"/>
        <v>February</v>
      </c>
      <c r="Q58" s="9">
        <f t="shared" ca="1" si="5"/>
        <v>16</v>
      </c>
      <c r="R58">
        <v>0</v>
      </c>
      <c r="S58" t="str">
        <f t="shared" si="6"/>
        <v>Unpaid</v>
      </c>
      <c r="T58" t="str">
        <f t="shared" si="7"/>
        <v xml:space="preserve"> </v>
      </c>
      <c r="U58" t="str">
        <f t="shared" si="8"/>
        <v>Dawn Jenna</v>
      </c>
      <c r="V58" s="18">
        <f>VLOOKUP(A58,'Staff Salary'!A57:B158,2)</f>
        <v>190</v>
      </c>
      <c r="W58" s="13">
        <f t="shared" si="9"/>
        <v>0</v>
      </c>
      <c r="X58" s="8">
        <v>0.2</v>
      </c>
    </row>
    <row r="59" spans="1:24">
      <c r="A59">
        <v>57</v>
      </c>
      <c r="B59" t="str">
        <f t="shared" si="0"/>
        <v>Dennis Jennifer</v>
      </c>
      <c r="C59" t="s">
        <v>252</v>
      </c>
      <c r="D59" t="s">
        <v>352</v>
      </c>
      <c r="E59" t="s">
        <v>129</v>
      </c>
      <c r="F59" t="s">
        <v>9</v>
      </c>
      <c r="G59" t="s">
        <v>72</v>
      </c>
      <c r="H59" t="s">
        <v>16</v>
      </c>
      <c r="I59" s="5">
        <v>26138</v>
      </c>
      <c r="J59" s="9">
        <f t="shared" ca="1" si="1"/>
        <v>54</v>
      </c>
      <c r="K59" s="9" t="str">
        <f t="shared" ca="1" si="2"/>
        <v>60-70</v>
      </c>
      <c r="L59" s="5">
        <f t="shared" ca="1" si="3"/>
        <v>45991</v>
      </c>
      <c r="M59" s="5" t="s">
        <v>372</v>
      </c>
      <c r="N59" t="s">
        <v>373</v>
      </c>
      <c r="O59" s="5">
        <v>39867</v>
      </c>
      <c r="P59" s="10" t="str">
        <f t="shared" si="4"/>
        <v>February</v>
      </c>
      <c r="Q59" s="9">
        <f t="shared" ca="1" si="5"/>
        <v>16</v>
      </c>
      <c r="R59">
        <v>1</v>
      </c>
      <c r="S59" t="str">
        <f t="shared" si="6"/>
        <v>Paid</v>
      </c>
      <c r="T59" t="str">
        <f t="shared" si="7"/>
        <v>Dennis Jennifer</v>
      </c>
      <c r="U59" t="str">
        <f t="shared" si="8"/>
        <v xml:space="preserve"> </v>
      </c>
      <c r="V59" s="18">
        <f>VLOOKUP(A59,'Staff Salary'!A58:B159,2)</f>
        <v>360</v>
      </c>
      <c r="W59" s="13">
        <f t="shared" si="9"/>
        <v>72</v>
      </c>
      <c r="X59" s="8">
        <v>0.2</v>
      </c>
    </row>
    <row r="60" spans="1:24">
      <c r="A60">
        <v>58</v>
      </c>
      <c r="B60" t="str">
        <f t="shared" si="0"/>
        <v>Edwin Jeremy</v>
      </c>
      <c r="C60" t="s">
        <v>253</v>
      </c>
      <c r="D60" t="s">
        <v>353</v>
      </c>
      <c r="E60" t="s">
        <v>130</v>
      </c>
      <c r="F60" t="s">
        <v>9</v>
      </c>
      <c r="G60" t="s">
        <v>121</v>
      </c>
      <c r="H60" t="s">
        <v>11</v>
      </c>
      <c r="I60" s="5">
        <v>31562</v>
      </c>
      <c r="J60" s="9">
        <f t="shared" ca="1" si="1"/>
        <v>39</v>
      </c>
      <c r="K60" s="9" t="str">
        <f t="shared" ca="1" si="2"/>
        <v>40-50</v>
      </c>
      <c r="L60" s="5">
        <f t="shared" ca="1" si="3"/>
        <v>45991</v>
      </c>
      <c r="M60" s="5" t="s">
        <v>373</v>
      </c>
      <c r="N60" t="s">
        <v>373</v>
      </c>
      <c r="O60" s="5">
        <v>39787</v>
      </c>
      <c r="P60" s="10" t="str">
        <f t="shared" si="4"/>
        <v>December</v>
      </c>
      <c r="Q60" s="9">
        <f t="shared" ca="1" si="5"/>
        <v>16</v>
      </c>
      <c r="R60">
        <v>1</v>
      </c>
      <c r="S60" t="str">
        <f t="shared" si="6"/>
        <v>Paid</v>
      </c>
      <c r="T60" t="str">
        <f t="shared" si="7"/>
        <v>Edwin Jeremy</v>
      </c>
      <c r="U60" t="str">
        <f t="shared" si="8"/>
        <v xml:space="preserve"> </v>
      </c>
      <c r="V60" s="18">
        <f>VLOOKUP(A60,'Staff Salary'!A59:B160,2)</f>
        <v>190</v>
      </c>
      <c r="W60" s="13">
        <f t="shared" si="9"/>
        <v>38</v>
      </c>
      <c r="X60" s="8">
        <v>0.2</v>
      </c>
    </row>
    <row r="61" spans="1:24">
      <c r="A61">
        <v>59</v>
      </c>
      <c r="B61" t="str">
        <f t="shared" si="0"/>
        <v>Erica Jesse</v>
      </c>
      <c r="C61" t="s">
        <v>254</v>
      </c>
      <c r="D61" t="s">
        <v>354</v>
      </c>
      <c r="E61" t="s">
        <v>131</v>
      </c>
      <c r="F61" t="s">
        <v>9</v>
      </c>
      <c r="G61" t="s">
        <v>132</v>
      </c>
      <c r="H61" t="s">
        <v>11</v>
      </c>
      <c r="I61" s="5">
        <v>29083</v>
      </c>
      <c r="J61" s="9">
        <f t="shared" ca="1" si="1"/>
        <v>46</v>
      </c>
      <c r="K61" s="9" t="str">
        <f t="shared" ca="1" si="2"/>
        <v>50-60</v>
      </c>
      <c r="L61" s="5">
        <f t="shared" ca="1" si="3"/>
        <v>45991</v>
      </c>
      <c r="M61" s="5" t="s">
        <v>372</v>
      </c>
      <c r="N61" t="s">
        <v>373</v>
      </c>
      <c r="O61" s="5">
        <v>39806</v>
      </c>
      <c r="P61" s="10" t="str">
        <f t="shared" si="4"/>
        <v>December</v>
      </c>
      <c r="Q61" s="9">
        <f t="shared" ca="1" si="5"/>
        <v>16</v>
      </c>
      <c r="R61">
        <v>1</v>
      </c>
      <c r="S61" t="str">
        <f t="shared" si="6"/>
        <v>Paid</v>
      </c>
      <c r="T61" t="str">
        <f t="shared" si="7"/>
        <v>Erica Jesse</v>
      </c>
      <c r="U61" t="str">
        <f t="shared" si="8"/>
        <v xml:space="preserve"> </v>
      </c>
      <c r="V61" s="18">
        <f>VLOOKUP(A61,'Staff Salary'!A60:B161,2)</f>
        <v>190</v>
      </c>
      <c r="W61" s="13">
        <f t="shared" si="9"/>
        <v>38</v>
      </c>
      <c r="X61" s="8">
        <v>0.2</v>
      </c>
    </row>
    <row r="62" spans="1:24">
      <c r="A62">
        <v>60</v>
      </c>
      <c r="B62" t="str">
        <f t="shared" si="0"/>
        <v>Ernest Jonathan</v>
      </c>
      <c r="C62" t="s">
        <v>255</v>
      </c>
      <c r="D62" t="s">
        <v>355</v>
      </c>
      <c r="E62" t="s">
        <v>133</v>
      </c>
      <c r="F62" t="s">
        <v>9</v>
      </c>
      <c r="G62" t="s">
        <v>121</v>
      </c>
      <c r="H62" t="s">
        <v>11</v>
      </c>
      <c r="I62" s="5">
        <v>28159</v>
      </c>
      <c r="J62" s="9">
        <f t="shared" ca="1" si="1"/>
        <v>48</v>
      </c>
      <c r="K62" s="9" t="str">
        <f t="shared" ca="1" si="2"/>
        <v>50-60</v>
      </c>
      <c r="L62" s="5">
        <f t="shared" ca="1" si="3"/>
        <v>45991</v>
      </c>
      <c r="M62" s="5" t="s">
        <v>372</v>
      </c>
      <c r="N62" t="s">
        <v>373</v>
      </c>
      <c r="O62" s="5">
        <v>39824</v>
      </c>
      <c r="P62" s="10" t="str">
        <f t="shared" si="4"/>
        <v>January</v>
      </c>
      <c r="Q62" s="9">
        <f t="shared" ca="1" si="5"/>
        <v>16</v>
      </c>
      <c r="R62">
        <v>1</v>
      </c>
      <c r="S62" t="str">
        <f t="shared" si="6"/>
        <v>Paid</v>
      </c>
      <c r="T62" t="str">
        <f t="shared" si="7"/>
        <v>Ernest Jonathan</v>
      </c>
      <c r="U62" t="str">
        <f t="shared" si="8"/>
        <v xml:space="preserve"> </v>
      </c>
      <c r="V62" s="18">
        <f>VLOOKUP(A62,'Staff Salary'!A61:B162,2)</f>
        <v>150</v>
      </c>
      <c r="W62" s="13">
        <f t="shared" si="9"/>
        <v>30</v>
      </c>
      <c r="X62" s="8">
        <v>0.2</v>
      </c>
    </row>
    <row r="63" spans="1:24">
      <c r="A63">
        <v>61</v>
      </c>
      <c r="B63" t="str">
        <f t="shared" si="0"/>
        <v>Eugene Jordan</v>
      </c>
      <c r="C63" t="s">
        <v>256</v>
      </c>
      <c r="D63" t="s">
        <v>356</v>
      </c>
      <c r="E63" t="s">
        <v>134</v>
      </c>
      <c r="F63" t="s">
        <v>9</v>
      </c>
      <c r="G63" t="s">
        <v>72</v>
      </c>
      <c r="H63" t="s">
        <v>16</v>
      </c>
      <c r="I63" s="5">
        <v>32729</v>
      </c>
      <c r="J63" s="9">
        <f t="shared" ca="1" si="1"/>
        <v>36</v>
      </c>
      <c r="K63" s="9" t="str">
        <f t="shared" ca="1" si="2"/>
        <v>40-50</v>
      </c>
      <c r="L63" s="5">
        <f t="shared" ca="1" si="3"/>
        <v>45991</v>
      </c>
      <c r="M63" s="5" t="s">
        <v>372</v>
      </c>
      <c r="N63" t="s">
        <v>374</v>
      </c>
      <c r="O63" s="5">
        <v>39831</v>
      </c>
      <c r="P63" s="10" t="str">
        <f t="shared" si="4"/>
        <v>January</v>
      </c>
      <c r="Q63" s="9">
        <f t="shared" ca="1" si="5"/>
        <v>16</v>
      </c>
      <c r="R63">
        <v>0</v>
      </c>
      <c r="S63" t="str">
        <f t="shared" si="6"/>
        <v>Unpaid</v>
      </c>
      <c r="T63" t="str">
        <f t="shared" si="7"/>
        <v xml:space="preserve"> </v>
      </c>
      <c r="U63" t="str">
        <f t="shared" si="8"/>
        <v>Eugene Jordan</v>
      </c>
      <c r="V63" s="18">
        <f>VLOOKUP(A63,'Staff Salary'!A62:B163,2)</f>
        <v>120</v>
      </c>
      <c r="W63" s="13">
        <f t="shared" si="9"/>
        <v>0</v>
      </c>
      <c r="X63" s="8">
        <v>0.2</v>
      </c>
    </row>
    <row r="64" spans="1:24">
      <c r="A64">
        <v>62</v>
      </c>
      <c r="B64" t="str">
        <f t="shared" si="0"/>
        <v>Franklin Jordan</v>
      </c>
      <c r="C64" t="s">
        <v>256</v>
      </c>
      <c r="D64" t="s">
        <v>357</v>
      </c>
      <c r="E64" t="s">
        <v>135</v>
      </c>
      <c r="F64" t="s">
        <v>9</v>
      </c>
      <c r="G64" t="s">
        <v>74</v>
      </c>
      <c r="H64" t="s">
        <v>11</v>
      </c>
      <c r="I64" s="5">
        <v>20674</v>
      </c>
      <c r="J64" s="9">
        <f t="shared" ca="1" si="1"/>
        <v>69</v>
      </c>
      <c r="K64" s="9" t="str">
        <f t="shared" ca="1" si="2"/>
        <v>70-80</v>
      </c>
      <c r="L64" s="5">
        <f t="shared" ca="1" si="3"/>
        <v>45991</v>
      </c>
      <c r="M64" s="5" t="s">
        <v>373</v>
      </c>
      <c r="N64" t="s">
        <v>373</v>
      </c>
      <c r="O64" s="5">
        <v>39524</v>
      </c>
      <c r="P64" s="10" t="str">
        <f t="shared" si="4"/>
        <v>March</v>
      </c>
      <c r="Q64" s="9">
        <f t="shared" ca="1" si="5"/>
        <v>17</v>
      </c>
      <c r="R64">
        <v>1</v>
      </c>
      <c r="S64" t="str">
        <f t="shared" si="6"/>
        <v>Paid</v>
      </c>
      <c r="T64" t="str">
        <f t="shared" si="7"/>
        <v>Franklin Jordan</v>
      </c>
      <c r="U64" t="str">
        <f t="shared" si="8"/>
        <v xml:space="preserve"> </v>
      </c>
      <c r="V64" s="18">
        <f>VLOOKUP(A64,'Staff Salary'!A63:B164,2)</f>
        <v>610</v>
      </c>
      <c r="W64" s="13">
        <f t="shared" si="9"/>
        <v>122</v>
      </c>
      <c r="X64" s="8">
        <v>0.2</v>
      </c>
    </row>
    <row r="65" spans="1:24">
      <c r="A65">
        <v>63</v>
      </c>
      <c r="B65" t="str">
        <f t="shared" si="0"/>
        <v>Gilbert Jose</v>
      </c>
      <c r="C65" t="s">
        <v>257</v>
      </c>
      <c r="D65" t="s">
        <v>358</v>
      </c>
      <c r="E65" t="s">
        <v>136</v>
      </c>
      <c r="F65" t="s">
        <v>5</v>
      </c>
      <c r="G65" t="s">
        <v>91</v>
      </c>
      <c r="H65" t="s">
        <v>92</v>
      </c>
      <c r="I65" s="5">
        <v>20119</v>
      </c>
      <c r="J65" s="9">
        <f t="shared" ca="1" si="1"/>
        <v>70</v>
      </c>
      <c r="K65" s="9" t="str">
        <f t="shared" ca="1" si="2"/>
        <v>70-80</v>
      </c>
      <c r="L65" s="5">
        <f t="shared" ca="1" si="3"/>
        <v>45991</v>
      </c>
      <c r="M65" s="5" t="s">
        <v>372</v>
      </c>
      <c r="N65" t="s">
        <v>373</v>
      </c>
      <c r="O65" s="5">
        <v>40207</v>
      </c>
      <c r="P65" s="10" t="str">
        <f t="shared" si="4"/>
        <v>January</v>
      </c>
      <c r="Q65" s="9">
        <f t="shared" ca="1" si="5"/>
        <v>15</v>
      </c>
      <c r="R65">
        <v>1</v>
      </c>
      <c r="S65" t="str">
        <f t="shared" si="6"/>
        <v>Paid</v>
      </c>
      <c r="T65" t="str">
        <f t="shared" si="7"/>
        <v>Gilbert Jose</v>
      </c>
      <c r="U65" t="str">
        <f t="shared" si="8"/>
        <v xml:space="preserve"> </v>
      </c>
      <c r="V65" s="18">
        <f>VLOOKUP(A65,'Staff Salary'!A64:B165,2)</f>
        <v>190</v>
      </c>
      <c r="W65" s="13">
        <f t="shared" si="9"/>
        <v>0</v>
      </c>
      <c r="X65" s="8">
        <v>0.2</v>
      </c>
    </row>
    <row r="66" spans="1:24">
      <c r="A66">
        <v>64</v>
      </c>
      <c r="B66" t="str">
        <f t="shared" si="0"/>
        <v>Glenn Julia</v>
      </c>
      <c r="C66" t="s">
        <v>258</v>
      </c>
      <c r="D66" t="s">
        <v>359</v>
      </c>
      <c r="E66" t="s">
        <v>137</v>
      </c>
      <c r="F66" t="s">
        <v>36</v>
      </c>
      <c r="G66" t="s">
        <v>138</v>
      </c>
      <c r="H66" t="s">
        <v>38</v>
      </c>
      <c r="I66" s="5">
        <v>26912</v>
      </c>
      <c r="J66" s="9">
        <f t="shared" ca="1" si="1"/>
        <v>52</v>
      </c>
      <c r="K66" s="9" t="str">
        <f t="shared" ca="1" si="2"/>
        <v>60-70</v>
      </c>
      <c r="L66" s="5">
        <f t="shared" ca="1" si="3"/>
        <v>45991</v>
      </c>
      <c r="M66" s="5" t="s">
        <v>372</v>
      </c>
      <c r="N66" t="s">
        <v>373</v>
      </c>
      <c r="O66" s="5">
        <v>40232</v>
      </c>
      <c r="P66" s="10" t="str">
        <f t="shared" si="4"/>
        <v>February</v>
      </c>
      <c r="Q66" s="9">
        <f t="shared" ca="1" si="5"/>
        <v>15</v>
      </c>
      <c r="R66">
        <v>0</v>
      </c>
      <c r="S66" t="str">
        <f t="shared" si="6"/>
        <v>Unpaid</v>
      </c>
      <c r="T66" t="str">
        <f t="shared" si="7"/>
        <v xml:space="preserve"> </v>
      </c>
      <c r="U66" t="str">
        <f t="shared" si="8"/>
        <v>Glenn Julia</v>
      </c>
      <c r="V66" s="18">
        <f>VLOOKUP(A66,'Staff Salary'!A65:B166,2)</f>
        <v>190</v>
      </c>
      <c r="W66" s="13">
        <f t="shared" si="9"/>
        <v>0</v>
      </c>
      <c r="X66" s="8">
        <v>0.2</v>
      </c>
    </row>
    <row r="67" spans="1:24">
      <c r="A67">
        <v>65</v>
      </c>
      <c r="B67" t="str">
        <f t="shared" si="0"/>
        <v>Heather Kaitlyn</v>
      </c>
      <c r="C67" t="s">
        <v>259</v>
      </c>
      <c r="D67" t="s">
        <v>360</v>
      </c>
      <c r="E67" t="s">
        <v>139</v>
      </c>
      <c r="F67" t="s">
        <v>9</v>
      </c>
      <c r="G67" t="s">
        <v>140</v>
      </c>
      <c r="H67" t="s">
        <v>41</v>
      </c>
      <c r="I67" s="5">
        <v>25686</v>
      </c>
      <c r="J67" s="9">
        <f t="shared" ca="1" si="1"/>
        <v>55</v>
      </c>
      <c r="K67" s="9" t="str">
        <f t="shared" ca="1" si="2"/>
        <v>60-70</v>
      </c>
      <c r="L67" s="5">
        <f t="shared" ca="1" si="3"/>
        <v>45991</v>
      </c>
      <c r="M67" s="5" t="s">
        <v>373</v>
      </c>
      <c r="N67" t="s">
        <v>373</v>
      </c>
      <c r="O67" s="5">
        <v>40232</v>
      </c>
      <c r="P67" s="10" t="str">
        <f t="shared" si="4"/>
        <v>February</v>
      </c>
      <c r="Q67" s="9">
        <f t="shared" ca="1" si="5"/>
        <v>15</v>
      </c>
      <c r="R67">
        <v>0</v>
      </c>
      <c r="S67" t="str">
        <f t="shared" si="6"/>
        <v>Unpaid</v>
      </c>
      <c r="T67" t="str">
        <f t="shared" si="7"/>
        <v xml:space="preserve"> </v>
      </c>
      <c r="U67" t="str">
        <f t="shared" si="8"/>
        <v>Heather Kaitlyn</v>
      </c>
      <c r="V67" s="18">
        <f>VLOOKUP(A67,'Staff Salary'!A66:B167,2)</f>
        <v>120</v>
      </c>
      <c r="W67" s="13">
        <f t="shared" si="9"/>
        <v>24</v>
      </c>
      <c r="X67" s="8">
        <v>0.2</v>
      </c>
    </row>
    <row r="68" spans="1:24">
      <c r="A68">
        <v>66</v>
      </c>
      <c r="B68" t="str">
        <f t="shared" ref="B68:B104" si="10">CONCATENATE(D68, " ",C68)</f>
        <v>Jaclyn Katelyn</v>
      </c>
      <c r="C68" t="s">
        <v>260</v>
      </c>
      <c r="D68" t="s">
        <v>361</v>
      </c>
      <c r="E68" t="s">
        <v>141</v>
      </c>
      <c r="F68" t="s">
        <v>9</v>
      </c>
      <c r="G68" t="s">
        <v>103</v>
      </c>
      <c r="H68" t="s">
        <v>41</v>
      </c>
      <c r="I68" s="5">
        <v>25634</v>
      </c>
      <c r="J68" s="9">
        <f t="shared" ref="J68:J104" ca="1" si="11">ROUNDDOWN(YEARFRAC(I68,L68), 0)</f>
        <v>55</v>
      </c>
      <c r="K68" s="9" t="str">
        <f t="shared" ref="K68:K104" ca="1" si="12">IF(J68&lt;=30, "20-30",IF(J68&lt;=40, "40-50",IF(J68&lt;=50, "50-60",IF(J68&lt;=60, "60-70",IF(J68&lt;=70, "70-80",IF(J68&lt;=80, "80-90"))))))</f>
        <v>60-70</v>
      </c>
      <c r="L68" s="5">
        <f t="shared" ref="L68:L104" ca="1" si="13">TODAY()</f>
        <v>45991</v>
      </c>
      <c r="M68" s="5" t="s">
        <v>372</v>
      </c>
      <c r="N68" t="s">
        <v>373</v>
      </c>
      <c r="O68" s="5">
        <v>40169</v>
      </c>
      <c r="P68" s="10" t="str">
        <f t="shared" ref="P68:P104" si="14">TEXT(O68, "mmmm")</f>
        <v>December</v>
      </c>
      <c r="Q68" s="9">
        <f t="shared" ref="Q68:Q104" ca="1" si="15">ROUNDDOWN(YEARFRAC(O68, L68),0)</f>
        <v>15</v>
      </c>
      <c r="R68">
        <v>1</v>
      </c>
      <c r="S68" t="str">
        <f t="shared" ref="S68:S104" si="16">IF(R68=1, "Paid","Unpaid" )</f>
        <v>Paid</v>
      </c>
      <c r="T68" t="str">
        <f t="shared" ref="T68:T104" si="17">IF(S68="Paid",B68, " ")</f>
        <v>Jaclyn Katelyn</v>
      </c>
      <c r="U68" t="str">
        <f t="shared" ref="U68:U104" si="18">IF(S68="Unpaid",B68, " ")</f>
        <v xml:space="preserve"> </v>
      </c>
      <c r="V68" s="18">
        <f>VLOOKUP(A68,'Staff Salary'!A67:B168,2)</f>
        <v>190</v>
      </c>
      <c r="W68" s="13">
        <f t="shared" ref="W68:W103" si="19">IF(AND(TRIM(N68) = "M",TRIM(F68) ="USA"),V68*X68,0)</f>
        <v>38</v>
      </c>
      <c r="X68" s="8">
        <v>0.2</v>
      </c>
    </row>
    <row r="69" spans="1:24">
      <c r="A69">
        <v>67</v>
      </c>
      <c r="B69" t="str">
        <f t="shared" si="10"/>
        <v>Jake Katherine</v>
      </c>
      <c r="C69" t="s">
        <v>261</v>
      </c>
      <c r="D69" t="s">
        <v>362</v>
      </c>
      <c r="E69" t="s">
        <v>142</v>
      </c>
      <c r="F69" t="s">
        <v>9</v>
      </c>
      <c r="G69" t="s">
        <v>140</v>
      </c>
      <c r="H69" t="s">
        <v>41</v>
      </c>
      <c r="I69" s="5">
        <v>27801</v>
      </c>
      <c r="J69" s="9">
        <f t="shared" ca="1" si="11"/>
        <v>49</v>
      </c>
      <c r="K69" s="9" t="str">
        <f t="shared" ca="1" si="12"/>
        <v>50-60</v>
      </c>
      <c r="L69" s="5">
        <f t="shared" ca="1" si="13"/>
        <v>45991</v>
      </c>
      <c r="M69" s="5" t="s">
        <v>372</v>
      </c>
      <c r="N69" t="s">
        <v>373</v>
      </c>
      <c r="O69" s="5">
        <v>39877</v>
      </c>
      <c r="P69" s="10" t="str">
        <f t="shared" si="14"/>
        <v>March</v>
      </c>
      <c r="Q69" s="9">
        <f t="shared" ca="1" si="15"/>
        <v>16</v>
      </c>
      <c r="R69">
        <v>0</v>
      </c>
      <c r="S69" t="str">
        <f t="shared" si="16"/>
        <v>Unpaid</v>
      </c>
      <c r="T69" t="str">
        <f t="shared" si="17"/>
        <v xml:space="preserve"> </v>
      </c>
      <c r="U69" t="str">
        <f t="shared" si="18"/>
        <v>Jake Katherine</v>
      </c>
      <c r="V69" s="18">
        <f>VLOOKUP(A69,'Staff Salary'!A68:B169,2)</f>
        <v>190</v>
      </c>
      <c r="W69" s="13">
        <f t="shared" si="19"/>
        <v>38</v>
      </c>
      <c r="X69" s="8">
        <v>0.2</v>
      </c>
    </row>
    <row r="70" spans="1:24">
      <c r="A70">
        <v>68</v>
      </c>
      <c r="B70" t="str">
        <f t="shared" si="10"/>
        <v>Jamie Kaylee</v>
      </c>
      <c r="C70" t="s">
        <v>262</v>
      </c>
      <c r="D70" t="s">
        <v>296</v>
      </c>
      <c r="E70" t="s">
        <v>143</v>
      </c>
      <c r="F70" t="s">
        <v>9</v>
      </c>
      <c r="G70" t="s">
        <v>72</v>
      </c>
      <c r="H70" t="s">
        <v>16</v>
      </c>
      <c r="I70" s="5">
        <v>26178</v>
      </c>
      <c r="J70" s="9">
        <f t="shared" ca="1" si="11"/>
        <v>54</v>
      </c>
      <c r="K70" s="9" t="str">
        <f t="shared" ca="1" si="12"/>
        <v>60-70</v>
      </c>
      <c r="L70" s="5">
        <f t="shared" ca="1" si="13"/>
        <v>45991</v>
      </c>
      <c r="M70" s="5" t="s">
        <v>372</v>
      </c>
      <c r="N70" t="s">
        <v>373</v>
      </c>
      <c r="O70" s="5">
        <v>40150</v>
      </c>
      <c r="P70" s="10" t="str">
        <f t="shared" si="14"/>
        <v>December</v>
      </c>
      <c r="Q70" s="9">
        <f t="shared" ca="1" si="15"/>
        <v>15</v>
      </c>
      <c r="R70">
        <v>1</v>
      </c>
      <c r="S70" t="str">
        <f t="shared" si="16"/>
        <v>Paid</v>
      </c>
      <c r="T70" t="str">
        <f t="shared" si="17"/>
        <v>Jamie Kaylee</v>
      </c>
      <c r="U70" t="str">
        <f t="shared" si="18"/>
        <v xml:space="preserve"> </v>
      </c>
      <c r="V70" s="18">
        <f>VLOOKUP(A70,'Staff Salary'!A69:B170,2)</f>
        <v>190</v>
      </c>
      <c r="W70" s="13">
        <f t="shared" si="19"/>
        <v>38</v>
      </c>
      <c r="X70" s="8">
        <v>0.2</v>
      </c>
    </row>
    <row r="71" spans="1:24">
      <c r="A71">
        <v>69</v>
      </c>
      <c r="B71" t="str">
        <f t="shared" si="10"/>
        <v>Jeffery Kevin</v>
      </c>
      <c r="C71" t="s">
        <v>263</v>
      </c>
      <c r="D71" t="s">
        <v>363</v>
      </c>
      <c r="E71" t="s">
        <v>144</v>
      </c>
      <c r="F71" t="s">
        <v>5</v>
      </c>
      <c r="G71" t="s">
        <v>145</v>
      </c>
      <c r="H71" t="s">
        <v>146</v>
      </c>
      <c r="I71" s="5">
        <v>33334</v>
      </c>
      <c r="J71" s="9">
        <f t="shared" ca="1" si="11"/>
        <v>34</v>
      </c>
      <c r="K71" s="9" t="str">
        <f t="shared" ca="1" si="12"/>
        <v>40-50</v>
      </c>
      <c r="L71" s="5">
        <f t="shared" ca="1" si="13"/>
        <v>45991</v>
      </c>
      <c r="M71" s="5" t="s">
        <v>372</v>
      </c>
      <c r="N71" t="s">
        <v>373</v>
      </c>
      <c r="O71" s="5">
        <v>39859</v>
      </c>
      <c r="P71" s="10" t="str">
        <f t="shared" si="14"/>
        <v>February</v>
      </c>
      <c r="Q71" s="9">
        <f t="shared" ca="1" si="15"/>
        <v>16</v>
      </c>
      <c r="R71">
        <v>0</v>
      </c>
      <c r="S71" t="str">
        <f t="shared" si="16"/>
        <v>Unpaid</v>
      </c>
      <c r="T71" t="str">
        <f t="shared" si="17"/>
        <v xml:space="preserve"> </v>
      </c>
      <c r="U71" t="str">
        <f t="shared" si="18"/>
        <v>Jeffery Kevin</v>
      </c>
      <c r="V71" s="18">
        <f>VLOOKUP(A71,'Staff Salary'!A70:B171,2)</f>
        <v>190</v>
      </c>
      <c r="W71" s="13">
        <f t="shared" si="19"/>
        <v>0</v>
      </c>
      <c r="X71" s="8">
        <v>0.2</v>
      </c>
    </row>
    <row r="72" spans="1:24">
      <c r="A72">
        <v>70</v>
      </c>
      <c r="B72" t="str">
        <f t="shared" si="10"/>
        <v>Jenny Kyle</v>
      </c>
      <c r="C72" t="s">
        <v>264</v>
      </c>
      <c r="D72" t="s">
        <v>364</v>
      </c>
      <c r="E72" t="s">
        <v>147</v>
      </c>
      <c r="F72" t="s">
        <v>9</v>
      </c>
      <c r="G72" t="s">
        <v>121</v>
      </c>
      <c r="H72" t="s">
        <v>11</v>
      </c>
      <c r="I72" s="5">
        <v>31045</v>
      </c>
      <c r="J72" s="9">
        <f t="shared" ca="1" si="11"/>
        <v>40</v>
      </c>
      <c r="K72" s="9" t="str">
        <f t="shared" ca="1" si="12"/>
        <v>40-50</v>
      </c>
      <c r="L72" s="5">
        <f t="shared" ca="1" si="13"/>
        <v>45991</v>
      </c>
      <c r="M72" s="5" t="s">
        <v>373</v>
      </c>
      <c r="N72" t="s">
        <v>373</v>
      </c>
      <c r="O72" s="5">
        <v>39797</v>
      </c>
      <c r="P72" s="10" t="str">
        <f t="shared" si="14"/>
        <v>December</v>
      </c>
      <c r="Q72" s="9">
        <f t="shared" ca="1" si="15"/>
        <v>16</v>
      </c>
      <c r="R72">
        <v>1</v>
      </c>
      <c r="S72" t="str">
        <f t="shared" si="16"/>
        <v>Paid</v>
      </c>
      <c r="T72" t="str">
        <f t="shared" si="17"/>
        <v>Jenny Kyle</v>
      </c>
      <c r="U72" t="str">
        <f t="shared" si="18"/>
        <v xml:space="preserve"> </v>
      </c>
      <c r="V72" s="18">
        <f>VLOOKUP(A72,'Staff Salary'!A71:B172,2)</f>
        <v>610</v>
      </c>
      <c r="W72" s="13">
        <f t="shared" si="19"/>
        <v>122</v>
      </c>
      <c r="X72" s="8">
        <v>0.2</v>
      </c>
    </row>
    <row r="73" spans="1:24">
      <c r="A73">
        <v>71</v>
      </c>
      <c r="B73" t="str">
        <f t="shared" si="10"/>
        <v>Jessie Logan</v>
      </c>
      <c r="C73" t="s">
        <v>265</v>
      </c>
      <c r="D73" t="s">
        <v>365</v>
      </c>
      <c r="E73" t="s">
        <v>148</v>
      </c>
      <c r="F73" t="s">
        <v>18</v>
      </c>
      <c r="G73" t="s">
        <v>33</v>
      </c>
      <c r="H73" t="s">
        <v>34</v>
      </c>
      <c r="I73" s="5">
        <v>32537</v>
      </c>
      <c r="J73" s="9">
        <f t="shared" ca="1" si="11"/>
        <v>36</v>
      </c>
      <c r="K73" s="9" t="str">
        <f t="shared" ca="1" si="12"/>
        <v>40-50</v>
      </c>
      <c r="L73" s="5">
        <f t="shared" ca="1" si="13"/>
        <v>45991</v>
      </c>
      <c r="M73" s="5" t="s">
        <v>372</v>
      </c>
      <c r="N73" t="s">
        <v>373</v>
      </c>
      <c r="O73" s="5">
        <v>39859</v>
      </c>
      <c r="P73" s="10" t="str">
        <f t="shared" si="14"/>
        <v>February</v>
      </c>
      <c r="Q73" s="9">
        <f t="shared" ca="1" si="15"/>
        <v>16</v>
      </c>
      <c r="R73">
        <v>1</v>
      </c>
      <c r="S73" t="str">
        <f t="shared" si="16"/>
        <v>Paid</v>
      </c>
      <c r="T73" t="str">
        <f t="shared" si="17"/>
        <v>Jessie Logan</v>
      </c>
      <c r="U73" t="str">
        <f t="shared" si="18"/>
        <v xml:space="preserve"> </v>
      </c>
      <c r="V73" s="18">
        <f>VLOOKUP(A73,'Staff Salary'!A72:B173,2)</f>
        <v>110</v>
      </c>
      <c r="W73" s="13">
        <f t="shared" si="19"/>
        <v>0</v>
      </c>
      <c r="X73" s="8">
        <v>0.2</v>
      </c>
    </row>
    <row r="74" spans="1:24">
      <c r="A74">
        <v>72</v>
      </c>
      <c r="B74" t="str">
        <f t="shared" si="10"/>
        <v>Jon Lucas</v>
      </c>
      <c r="C74" t="s">
        <v>266</v>
      </c>
      <c r="D74" t="s">
        <v>298</v>
      </c>
      <c r="E74" t="s">
        <v>149</v>
      </c>
      <c r="F74" t="s">
        <v>9</v>
      </c>
      <c r="G74" t="s">
        <v>113</v>
      </c>
      <c r="H74" t="s">
        <v>16</v>
      </c>
      <c r="I74" s="5">
        <v>28259</v>
      </c>
      <c r="J74" s="9">
        <f t="shared" ca="1" si="11"/>
        <v>48</v>
      </c>
      <c r="K74" s="9" t="str">
        <f t="shared" ca="1" si="12"/>
        <v>50-60</v>
      </c>
      <c r="L74" s="5">
        <f t="shared" ca="1" si="13"/>
        <v>45991</v>
      </c>
      <c r="M74" s="5" t="s">
        <v>373</v>
      </c>
      <c r="N74" t="s">
        <v>373</v>
      </c>
      <c r="O74" s="5">
        <v>39783</v>
      </c>
      <c r="P74" s="10" t="str">
        <f t="shared" si="14"/>
        <v>December</v>
      </c>
      <c r="Q74" s="9">
        <f t="shared" ca="1" si="15"/>
        <v>16</v>
      </c>
      <c r="R74">
        <v>1</v>
      </c>
      <c r="S74" t="str">
        <f t="shared" si="16"/>
        <v>Paid</v>
      </c>
      <c r="T74" t="str">
        <f t="shared" si="17"/>
        <v>Jon Lucas</v>
      </c>
      <c r="U74" t="str">
        <f t="shared" si="18"/>
        <v xml:space="preserve"> </v>
      </c>
      <c r="V74" s="18">
        <f>VLOOKUP(A74,'Staff Salary'!A73:B174,2)</f>
        <v>190</v>
      </c>
      <c r="W74" s="13">
        <f t="shared" si="19"/>
        <v>38</v>
      </c>
      <c r="X74" s="8">
        <v>0.2</v>
      </c>
    </row>
    <row r="75" spans="1:24">
      <c r="A75">
        <v>73</v>
      </c>
      <c r="B75" t="str">
        <f t="shared" si="10"/>
        <v>Jorge Luis</v>
      </c>
      <c r="C75" t="s">
        <v>267</v>
      </c>
      <c r="D75" t="s">
        <v>299</v>
      </c>
      <c r="E75" t="s">
        <v>150</v>
      </c>
      <c r="F75" t="s">
        <v>9</v>
      </c>
      <c r="G75" t="s">
        <v>151</v>
      </c>
      <c r="H75" t="s">
        <v>85</v>
      </c>
      <c r="I75" s="5">
        <v>30608</v>
      </c>
      <c r="J75" s="9">
        <f t="shared" ca="1" si="11"/>
        <v>42</v>
      </c>
      <c r="K75" s="9" t="str">
        <f t="shared" ca="1" si="12"/>
        <v>50-60</v>
      </c>
      <c r="L75" s="5">
        <f t="shared" ca="1" si="13"/>
        <v>45991</v>
      </c>
      <c r="M75" s="5" t="s">
        <v>373</v>
      </c>
      <c r="N75" t="s">
        <v>374</v>
      </c>
      <c r="O75" s="5">
        <v>39801</v>
      </c>
      <c r="P75" s="10" t="str">
        <f t="shared" si="14"/>
        <v>December</v>
      </c>
      <c r="Q75" s="9">
        <f t="shared" ca="1" si="15"/>
        <v>16</v>
      </c>
      <c r="R75">
        <v>0</v>
      </c>
      <c r="S75" t="str">
        <f t="shared" si="16"/>
        <v>Unpaid</v>
      </c>
      <c r="T75" t="str">
        <f t="shared" si="17"/>
        <v xml:space="preserve"> </v>
      </c>
      <c r="U75" t="str">
        <f t="shared" si="18"/>
        <v>Jorge Luis</v>
      </c>
      <c r="V75" s="18">
        <f>VLOOKUP(A75,'Staff Salary'!A74:B175,2)</f>
        <v>120</v>
      </c>
      <c r="W75" s="13">
        <f t="shared" si="19"/>
        <v>0</v>
      </c>
      <c r="X75" s="8">
        <v>0.2</v>
      </c>
    </row>
    <row r="76" spans="1:24">
      <c r="A76">
        <v>74</v>
      </c>
      <c r="B76" t="str">
        <f t="shared" si="10"/>
        <v>Karen Luke</v>
      </c>
      <c r="C76" t="s">
        <v>268</v>
      </c>
      <c r="D76" t="s">
        <v>300</v>
      </c>
      <c r="E76" t="s">
        <v>152</v>
      </c>
      <c r="F76" t="s">
        <v>9</v>
      </c>
      <c r="G76" t="s">
        <v>57</v>
      </c>
      <c r="H76" t="s">
        <v>46</v>
      </c>
      <c r="I76" s="5">
        <v>32818</v>
      </c>
      <c r="J76" s="9">
        <f t="shared" ca="1" si="11"/>
        <v>36</v>
      </c>
      <c r="K76" s="9" t="str">
        <f t="shared" ca="1" si="12"/>
        <v>40-50</v>
      </c>
      <c r="L76" s="5">
        <f t="shared" ca="1" si="13"/>
        <v>45991</v>
      </c>
      <c r="M76" s="5" t="s">
        <v>372</v>
      </c>
      <c r="N76" t="s">
        <v>373</v>
      </c>
      <c r="O76" s="5">
        <v>39820</v>
      </c>
      <c r="P76" s="10" t="str">
        <f t="shared" si="14"/>
        <v>January</v>
      </c>
      <c r="Q76" s="9">
        <f t="shared" ca="1" si="15"/>
        <v>16</v>
      </c>
      <c r="R76">
        <v>0</v>
      </c>
      <c r="S76" t="str">
        <f t="shared" si="16"/>
        <v>Unpaid</v>
      </c>
      <c r="T76" t="str">
        <f t="shared" si="17"/>
        <v xml:space="preserve"> </v>
      </c>
      <c r="U76" t="str">
        <f t="shared" si="18"/>
        <v>Karen Luke</v>
      </c>
      <c r="V76" s="18">
        <f>VLOOKUP(A76,'Staff Salary'!A75:B176,2)</f>
        <v>190</v>
      </c>
      <c r="W76" s="13">
        <f t="shared" si="19"/>
        <v>38</v>
      </c>
      <c r="X76" s="8">
        <v>0.2</v>
      </c>
    </row>
    <row r="77" spans="1:24">
      <c r="A77">
        <v>75</v>
      </c>
      <c r="B77" t="str">
        <f t="shared" si="10"/>
        <v>Kelli Mackenzie</v>
      </c>
      <c r="C77" t="s">
        <v>269</v>
      </c>
      <c r="D77" t="s">
        <v>301</v>
      </c>
      <c r="E77" t="s">
        <v>153</v>
      </c>
      <c r="F77" t="s">
        <v>9</v>
      </c>
      <c r="G77" t="s">
        <v>52</v>
      </c>
      <c r="H77" t="s">
        <v>16</v>
      </c>
      <c r="I77" s="5">
        <v>30129</v>
      </c>
      <c r="J77" s="9">
        <f t="shared" ca="1" si="11"/>
        <v>43</v>
      </c>
      <c r="K77" s="9" t="str">
        <f t="shared" ca="1" si="12"/>
        <v>50-60</v>
      </c>
      <c r="L77" s="5">
        <f t="shared" ca="1" si="13"/>
        <v>45991</v>
      </c>
      <c r="M77" s="5" t="s">
        <v>372</v>
      </c>
      <c r="N77" t="s">
        <v>373</v>
      </c>
      <c r="O77" s="5">
        <v>39839</v>
      </c>
      <c r="P77" s="10" t="str">
        <f t="shared" si="14"/>
        <v>January</v>
      </c>
      <c r="Q77" s="9">
        <f t="shared" ca="1" si="15"/>
        <v>16</v>
      </c>
      <c r="R77">
        <v>0</v>
      </c>
      <c r="S77" t="str">
        <f t="shared" si="16"/>
        <v>Unpaid</v>
      </c>
      <c r="T77" t="str">
        <f t="shared" si="17"/>
        <v xml:space="preserve"> </v>
      </c>
      <c r="U77" t="str">
        <f t="shared" si="18"/>
        <v>Kelli Mackenzie</v>
      </c>
      <c r="V77" s="18">
        <f>VLOOKUP(A77,'Staff Salary'!A76:B177,2)</f>
        <v>120</v>
      </c>
      <c r="W77" s="13">
        <f t="shared" si="19"/>
        <v>24</v>
      </c>
      <c r="X77" s="8">
        <v>0.2</v>
      </c>
    </row>
    <row r="78" spans="1:24">
      <c r="A78">
        <v>76</v>
      </c>
      <c r="B78" t="str">
        <f t="shared" si="10"/>
        <v>Kelvin Marcus</v>
      </c>
      <c r="C78" t="s">
        <v>270</v>
      </c>
      <c r="D78" t="s">
        <v>302</v>
      </c>
      <c r="E78" t="s">
        <v>154</v>
      </c>
      <c r="F78" t="s">
        <v>9</v>
      </c>
      <c r="G78" t="s">
        <v>155</v>
      </c>
      <c r="H78" t="s">
        <v>156</v>
      </c>
      <c r="I78" s="5">
        <v>32433</v>
      </c>
      <c r="J78" s="9">
        <f t="shared" ca="1" si="11"/>
        <v>37</v>
      </c>
      <c r="K78" s="9" t="str">
        <f t="shared" ca="1" si="12"/>
        <v>40-50</v>
      </c>
      <c r="L78" s="5">
        <f t="shared" ca="1" si="13"/>
        <v>45991</v>
      </c>
      <c r="M78" s="5" t="s">
        <v>373</v>
      </c>
      <c r="N78" t="s">
        <v>374</v>
      </c>
      <c r="O78" s="5">
        <v>39856</v>
      </c>
      <c r="P78" s="10" t="str">
        <f t="shared" si="14"/>
        <v>February</v>
      </c>
      <c r="Q78" s="9">
        <f t="shared" ca="1" si="15"/>
        <v>16</v>
      </c>
      <c r="R78">
        <v>1</v>
      </c>
      <c r="S78" t="str">
        <f t="shared" si="16"/>
        <v>Paid</v>
      </c>
      <c r="T78" t="str">
        <f t="shared" si="17"/>
        <v>Kelvin Marcus</v>
      </c>
      <c r="U78" t="str">
        <f t="shared" si="18"/>
        <v xml:space="preserve"> </v>
      </c>
      <c r="V78" s="18">
        <f>VLOOKUP(A78,'Staff Salary'!A77:B178,2)</f>
        <v>120</v>
      </c>
      <c r="W78" s="13">
        <f t="shared" si="19"/>
        <v>0</v>
      </c>
      <c r="X78" s="8">
        <v>0.2</v>
      </c>
    </row>
    <row r="79" spans="1:24">
      <c r="A79">
        <v>77</v>
      </c>
      <c r="B79" t="str">
        <f t="shared" si="10"/>
        <v>Krystal Maria</v>
      </c>
      <c r="C79" t="s">
        <v>271</v>
      </c>
      <c r="D79" t="s">
        <v>304</v>
      </c>
      <c r="E79" t="s">
        <v>157</v>
      </c>
      <c r="F79" t="s">
        <v>9</v>
      </c>
      <c r="G79" t="s">
        <v>82</v>
      </c>
      <c r="H79" t="s">
        <v>46</v>
      </c>
      <c r="I79" s="5">
        <v>30449</v>
      </c>
      <c r="J79" s="9">
        <f t="shared" ca="1" si="11"/>
        <v>42</v>
      </c>
      <c r="K79" s="9" t="str">
        <f t="shared" ca="1" si="12"/>
        <v>50-60</v>
      </c>
      <c r="L79" s="5">
        <f t="shared" ca="1" si="13"/>
        <v>45991</v>
      </c>
      <c r="M79" s="5" t="s">
        <v>373</v>
      </c>
      <c r="N79" t="s">
        <v>374</v>
      </c>
      <c r="O79" s="5">
        <v>39875</v>
      </c>
      <c r="P79" s="10" t="str">
        <f t="shared" si="14"/>
        <v>March</v>
      </c>
      <c r="Q79" s="9">
        <f t="shared" ca="1" si="15"/>
        <v>16</v>
      </c>
      <c r="R79">
        <v>1</v>
      </c>
      <c r="S79" t="str">
        <f t="shared" si="16"/>
        <v>Paid</v>
      </c>
      <c r="T79" t="str">
        <f t="shared" si="17"/>
        <v>Krystal Maria</v>
      </c>
      <c r="U79" t="str">
        <f t="shared" si="18"/>
        <v xml:space="preserve"> </v>
      </c>
      <c r="V79" s="18">
        <f>VLOOKUP(A79,'Staff Salary'!A78:B179,2)</f>
        <v>110</v>
      </c>
      <c r="W79" s="13">
        <f t="shared" si="19"/>
        <v>0</v>
      </c>
      <c r="X79" s="8">
        <v>0.2</v>
      </c>
    </row>
    <row r="80" spans="1:24">
      <c r="A80">
        <v>78</v>
      </c>
      <c r="B80" t="str">
        <f t="shared" si="10"/>
        <v>Lacey Mary</v>
      </c>
      <c r="C80" t="s">
        <v>272</v>
      </c>
      <c r="D80" t="s">
        <v>305</v>
      </c>
      <c r="E80" t="s">
        <v>158</v>
      </c>
      <c r="F80" t="s">
        <v>9</v>
      </c>
      <c r="G80" t="s">
        <v>159</v>
      </c>
      <c r="H80" t="s">
        <v>23</v>
      </c>
      <c r="I80" s="5">
        <v>32016</v>
      </c>
      <c r="J80" s="9">
        <f t="shared" ca="1" si="11"/>
        <v>38</v>
      </c>
      <c r="K80" s="9" t="str">
        <f t="shared" ca="1" si="12"/>
        <v>40-50</v>
      </c>
      <c r="L80" s="5">
        <f t="shared" ca="1" si="13"/>
        <v>45991</v>
      </c>
      <c r="M80" s="5" t="s">
        <v>373</v>
      </c>
      <c r="N80" t="s">
        <v>373</v>
      </c>
      <c r="O80" s="5">
        <v>39797</v>
      </c>
      <c r="P80" s="10" t="str">
        <f t="shared" si="14"/>
        <v>December</v>
      </c>
      <c r="Q80" s="9">
        <f t="shared" ca="1" si="15"/>
        <v>16</v>
      </c>
      <c r="R80">
        <v>1</v>
      </c>
      <c r="S80" t="str">
        <f t="shared" si="16"/>
        <v>Paid</v>
      </c>
      <c r="T80" t="str">
        <f t="shared" si="17"/>
        <v>Lacey Mary</v>
      </c>
      <c r="U80" t="str">
        <f t="shared" si="18"/>
        <v xml:space="preserve"> </v>
      </c>
      <c r="V80" s="18">
        <f>VLOOKUP(A80,'Staff Salary'!A79:B180,2)</f>
        <v>120</v>
      </c>
      <c r="W80" s="13">
        <f t="shared" si="19"/>
        <v>24</v>
      </c>
      <c r="X80" s="8">
        <v>0.2</v>
      </c>
    </row>
    <row r="81" spans="1:24">
      <c r="A81">
        <v>79</v>
      </c>
      <c r="B81" t="str">
        <f t="shared" si="10"/>
        <v>Laura Mason</v>
      </c>
      <c r="C81" t="s">
        <v>273</v>
      </c>
      <c r="D81" t="s">
        <v>306</v>
      </c>
      <c r="E81" t="s">
        <v>160</v>
      </c>
      <c r="F81" t="s">
        <v>18</v>
      </c>
      <c r="G81" t="s">
        <v>19</v>
      </c>
      <c r="H81" t="s">
        <v>20</v>
      </c>
      <c r="I81" s="5">
        <v>24449</v>
      </c>
      <c r="J81" s="9">
        <f t="shared" ca="1" si="11"/>
        <v>58</v>
      </c>
      <c r="K81" s="9" t="str">
        <f t="shared" ca="1" si="12"/>
        <v>60-70</v>
      </c>
      <c r="L81" s="5">
        <f t="shared" ca="1" si="13"/>
        <v>45991</v>
      </c>
      <c r="M81" s="5" t="s">
        <v>373</v>
      </c>
      <c r="N81" t="s">
        <v>373</v>
      </c>
      <c r="O81" s="5">
        <v>40202</v>
      </c>
      <c r="P81" s="10" t="str">
        <f t="shared" si="14"/>
        <v>January</v>
      </c>
      <c r="Q81" s="9">
        <f t="shared" ca="1" si="15"/>
        <v>15</v>
      </c>
      <c r="R81">
        <v>0</v>
      </c>
      <c r="S81" t="str">
        <f t="shared" si="16"/>
        <v>Unpaid</v>
      </c>
      <c r="T81" t="str">
        <f t="shared" si="17"/>
        <v xml:space="preserve"> </v>
      </c>
      <c r="U81" t="str">
        <f t="shared" si="18"/>
        <v>Laura Mason</v>
      </c>
      <c r="V81" s="18">
        <f>VLOOKUP(A81,'Staff Salary'!A80:B181,2)</f>
        <v>110</v>
      </c>
      <c r="W81" s="13">
        <f t="shared" si="19"/>
        <v>0</v>
      </c>
      <c r="X81" s="8">
        <v>0.2</v>
      </c>
    </row>
    <row r="82" spans="1:24">
      <c r="A82">
        <v>80</v>
      </c>
      <c r="B82" t="str">
        <f t="shared" si="10"/>
        <v>Leah Miguel</v>
      </c>
      <c r="C82" t="s">
        <v>274</v>
      </c>
      <c r="D82" t="s">
        <v>307</v>
      </c>
      <c r="E82" t="s">
        <v>161</v>
      </c>
      <c r="F82" t="s">
        <v>5</v>
      </c>
      <c r="G82" t="s">
        <v>30</v>
      </c>
      <c r="H82" t="s">
        <v>31</v>
      </c>
      <c r="I82" s="5">
        <v>25905</v>
      </c>
      <c r="J82" s="9">
        <f t="shared" ca="1" si="11"/>
        <v>54</v>
      </c>
      <c r="K82" s="9" t="str">
        <f t="shared" ca="1" si="12"/>
        <v>60-70</v>
      </c>
      <c r="L82" s="5">
        <f t="shared" ca="1" si="13"/>
        <v>45991</v>
      </c>
      <c r="M82" s="5" t="s">
        <v>372</v>
      </c>
      <c r="N82" t="s">
        <v>373</v>
      </c>
      <c r="O82" s="5">
        <v>40195</v>
      </c>
      <c r="P82" s="10" t="str">
        <f t="shared" si="14"/>
        <v>January</v>
      </c>
      <c r="Q82" s="9">
        <f t="shared" ca="1" si="15"/>
        <v>15</v>
      </c>
      <c r="R82">
        <v>1</v>
      </c>
      <c r="S82" t="str">
        <f t="shared" si="16"/>
        <v>Paid</v>
      </c>
      <c r="T82" t="str">
        <f t="shared" si="17"/>
        <v>Leah Miguel</v>
      </c>
      <c r="U82" t="str">
        <f t="shared" si="18"/>
        <v xml:space="preserve"> </v>
      </c>
      <c r="V82" s="18">
        <f>VLOOKUP(A82,'Staff Salary'!A81:B182,2)</f>
        <v>190</v>
      </c>
      <c r="W82" s="13">
        <f t="shared" si="19"/>
        <v>0</v>
      </c>
      <c r="X82" s="8">
        <v>0.2</v>
      </c>
    </row>
    <row r="83" spans="1:24">
      <c r="A83">
        <v>81</v>
      </c>
      <c r="B83" t="str">
        <f t="shared" si="10"/>
        <v>Lisa Morgan</v>
      </c>
      <c r="C83" t="s">
        <v>275</v>
      </c>
      <c r="D83" t="s">
        <v>308</v>
      </c>
      <c r="E83" t="s">
        <v>162</v>
      </c>
      <c r="F83" t="s">
        <v>9</v>
      </c>
      <c r="G83" t="s">
        <v>40</v>
      </c>
      <c r="H83" t="s">
        <v>41</v>
      </c>
      <c r="I83" s="5">
        <v>26001</v>
      </c>
      <c r="J83" s="9">
        <f t="shared" ca="1" si="11"/>
        <v>54</v>
      </c>
      <c r="K83" s="9" t="str">
        <f t="shared" ca="1" si="12"/>
        <v>60-70</v>
      </c>
      <c r="L83" s="5">
        <f t="shared" ca="1" si="13"/>
        <v>45991</v>
      </c>
      <c r="M83" s="5" t="s">
        <v>372</v>
      </c>
      <c r="N83" t="s">
        <v>373</v>
      </c>
      <c r="O83" s="5">
        <v>40176</v>
      </c>
      <c r="P83" s="10" t="str">
        <f t="shared" si="14"/>
        <v>December</v>
      </c>
      <c r="Q83" s="9">
        <f t="shared" ca="1" si="15"/>
        <v>15</v>
      </c>
      <c r="R83">
        <v>0</v>
      </c>
      <c r="S83" t="str">
        <f t="shared" si="16"/>
        <v>Unpaid</v>
      </c>
      <c r="T83" t="str">
        <f t="shared" si="17"/>
        <v xml:space="preserve"> </v>
      </c>
      <c r="U83" t="str">
        <f t="shared" si="18"/>
        <v>Lisa Morgan</v>
      </c>
      <c r="V83" s="18">
        <f>VLOOKUP(A83,'Staff Salary'!A82:B183,2)</f>
        <v>190</v>
      </c>
      <c r="W83" s="13">
        <f t="shared" si="19"/>
        <v>38</v>
      </c>
      <c r="X83" s="8">
        <v>0.2</v>
      </c>
    </row>
    <row r="84" spans="1:24">
      <c r="A84">
        <v>82</v>
      </c>
      <c r="B84" t="str">
        <f t="shared" si="10"/>
        <v>Louis Natalie</v>
      </c>
      <c r="C84" t="s">
        <v>276</v>
      </c>
      <c r="D84" t="s">
        <v>309</v>
      </c>
      <c r="E84" t="s">
        <v>163</v>
      </c>
      <c r="F84" t="s">
        <v>9</v>
      </c>
      <c r="G84" t="s">
        <v>61</v>
      </c>
      <c r="H84" t="s">
        <v>28</v>
      </c>
      <c r="I84" s="5">
        <v>26905</v>
      </c>
      <c r="J84" s="9">
        <f t="shared" ca="1" si="11"/>
        <v>52</v>
      </c>
      <c r="K84" s="9" t="str">
        <f t="shared" ca="1" si="12"/>
        <v>60-70</v>
      </c>
      <c r="L84" s="5">
        <f t="shared" ca="1" si="13"/>
        <v>45991</v>
      </c>
      <c r="M84" s="5" t="s">
        <v>372</v>
      </c>
      <c r="N84" t="s">
        <v>373</v>
      </c>
      <c r="O84" s="5">
        <v>40240</v>
      </c>
      <c r="P84" s="10" t="str">
        <f t="shared" si="14"/>
        <v>March</v>
      </c>
      <c r="Q84" s="9">
        <f t="shared" ca="1" si="15"/>
        <v>15</v>
      </c>
      <c r="R84">
        <v>1</v>
      </c>
      <c r="S84" t="str">
        <f t="shared" si="16"/>
        <v>Paid</v>
      </c>
      <c r="T84" t="str">
        <f t="shared" si="17"/>
        <v>Louis Natalie</v>
      </c>
      <c r="U84" t="str">
        <f t="shared" si="18"/>
        <v xml:space="preserve"> </v>
      </c>
      <c r="V84" s="18">
        <f>VLOOKUP(A84,'Staff Salary'!A83:B184,2)</f>
        <v>190</v>
      </c>
      <c r="W84" s="13">
        <f t="shared" si="19"/>
        <v>38</v>
      </c>
      <c r="X84" s="8">
        <v>0.2</v>
      </c>
    </row>
    <row r="85" spans="1:24">
      <c r="A85">
        <v>83</v>
      </c>
      <c r="B85" t="str">
        <f t="shared" si="10"/>
        <v>Margaret Nathan</v>
      </c>
      <c r="C85" t="s">
        <v>277</v>
      </c>
      <c r="D85" t="s">
        <v>311</v>
      </c>
      <c r="E85" t="s">
        <v>164</v>
      </c>
      <c r="F85" t="s">
        <v>9</v>
      </c>
      <c r="G85" t="s">
        <v>165</v>
      </c>
      <c r="H85" t="s">
        <v>16</v>
      </c>
      <c r="I85" s="5">
        <v>27021</v>
      </c>
      <c r="J85" s="9">
        <f t="shared" ca="1" si="11"/>
        <v>51</v>
      </c>
      <c r="K85" s="9" t="str">
        <f t="shared" ca="1" si="12"/>
        <v>60-70</v>
      </c>
      <c r="L85" s="5">
        <f t="shared" ca="1" si="13"/>
        <v>45991</v>
      </c>
      <c r="M85" s="5" t="s">
        <v>373</v>
      </c>
      <c r="N85" t="s">
        <v>373</v>
      </c>
      <c r="O85" s="5">
        <v>40221</v>
      </c>
      <c r="P85" s="10" t="str">
        <f t="shared" si="14"/>
        <v>February</v>
      </c>
      <c r="Q85" s="9">
        <f t="shared" ca="1" si="15"/>
        <v>15</v>
      </c>
      <c r="R85">
        <v>0</v>
      </c>
      <c r="S85" t="str">
        <f t="shared" si="16"/>
        <v>Unpaid</v>
      </c>
      <c r="T85" t="str">
        <f t="shared" si="17"/>
        <v xml:space="preserve"> </v>
      </c>
      <c r="U85" t="str">
        <f t="shared" si="18"/>
        <v>Margaret Nathan</v>
      </c>
      <c r="V85" s="18">
        <f>VLOOKUP(A85,'Staff Salary'!A84:B185,2)</f>
        <v>120</v>
      </c>
      <c r="W85" s="13">
        <f t="shared" si="19"/>
        <v>24</v>
      </c>
      <c r="X85" s="8">
        <v>0.2</v>
      </c>
    </row>
    <row r="86" spans="1:24">
      <c r="A86">
        <v>84</v>
      </c>
      <c r="B86" t="str">
        <f t="shared" si="10"/>
        <v>Marshall Noah</v>
      </c>
      <c r="C86" t="s">
        <v>278</v>
      </c>
      <c r="D86" t="s">
        <v>366</v>
      </c>
      <c r="E86" t="s">
        <v>166</v>
      </c>
      <c r="F86" t="s">
        <v>9</v>
      </c>
      <c r="G86" t="s">
        <v>66</v>
      </c>
      <c r="H86" t="s">
        <v>53</v>
      </c>
      <c r="I86" s="5">
        <v>19055</v>
      </c>
      <c r="J86" s="9">
        <f t="shared" ca="1" si="11"/>
        <v>73</v>
      </c>
      <c r="K86" s="9" t="str">
        <f t="shared" ca="1" si="12"/>
        <v>80-90</v>
      </c>
      <c r="L86" s="5">
        <f t="shared" ca="1" si="13"/>
        <v>45991</v>
      </c>
      <c r="M86" s="5" t="s">
        <v>373</v>
      </c>
      <c r="N86" t="s">
        <v>373</v>
      </c>
      <c r="O86" s="5">
        <v>40214</v>
      </c>
      <c r="P86" s="10" t="str">
        <f t="shared" si="14"/>
        <v>February</v>
      </c>
      <c r="Q86" s="9">
        <f t="shared" ca="1" si="15"/>
        <v>15</v>
      </c>
      <c r="R86">
        <v>1</v>
      </c>
      <c r="S86" t="str">
        <f t="shared" si="16"/>
        <v>Paid</v>
      </c>
      <c r="T86" t="str">
        <f t="shared" si="17"/>
        <v>Marshall Noah</v>
      </c>
      <c r="U86" t="str">
        <f t="shared" si="18"/>
        <v xml:space="preserve"> </v>
      </c>
      <c r="V86" s="18">
        <f>VLOOKUP(A86,'Staff Salary'!A85:B186,2)</f>
        <v>110</v>
      </c>
      <c r="W86" s="13">
        <f t="shared" si="19"/>
        <v>22</v>
      </c>
      <c r="X86" s="8">
        <v>0.2</v>
      </c>
    </row>
    <row r="87" spans="1:24">
      <c r="A87">
        <v>85</v>
      </c>
      <c r="B87" t="str">
        <f t="shared" si="10"/>
        <v>Micah Rebecca</v>
      </c>
      <c r="C87" t="s">
        <v>279</v>
      </c>
      <c r="D87" t="s">
        <v>313</v>
      </c>
      <c r="E87" t="s">
        <v>167</v>
      </c>
      <c r="F87" t="s">
        <v>9</v>
      </c>
      <c r="G87" t="s">
        <v>72</v>
      </c>
      <c r="H87" t="s">
        <v>16</v>
      </c>
      <c r="I87" s="5">
        <v>25925</v>
      </c>
      <c r="J87" s="9">
        <f t="shared" ca="1" si="11"/>
        <v>54</v>
      </c>
      <c r="K87" s="9" t="str">
        <f t="shared" ca="1" si="12"/>
        <v>60-70</v>
      </c>
      <c r="L87" s="5">
        <f t="shared" ca="1" si="13"/>
        <v>45991</v>
      </c>
      <c r="M87" s="5" t="s">
        <v>372</v>
      </c>
      <c r="N87" t="s">
        <v>373</v>
      </c>
      <c r="O87" s="5">
        <v>40158</v>
      </c>
      <c r="P87" s="10" t="str">
        <f t="shared" si="14"/>
        <v>December</v>
      </c>
      <c r="Q87" s="9">
        <f t="shared" ca="1" si="15"/>
        <v>15</v>
      </c>
      <c r="R87">
        <v>1</v>
      </c>
      <c r="S87" t="str">
        <f t="shared" si="16"/>
        <v>Paid</v>
      </c>
      <c r="T87" t="str">
        <f t="shared" si="17"/>
        <v>Micah Rebecca</v>
      </c>
      <c r="U87" t="str">
        <f t="shared" si="18"/>
        <v xml:space="preserve"> </v>
      </c>
      <c r="V87" s="18">
        <f>VLOOKUP(A87,'Staff Salary'!A86:B187,2)</f>
        <v>110</v>
      </c>
      <c r="W87" s="13">
        <f t="shared" si="19"/>
        <v>22</v>
      </c>
      <c r="X87" s="8">
        <v>0.2</v>
      </c>
    </row>
    <row r="88" spans="1:24">
      <c r="A88">
        <v>86</v>
      </c>
      <c r="B88" t="str">
        <f t="shared" si="10"/>
        <v>Omar Richard</v>
      </c>
      <c r="C88" t="s">
        <v>280</v>
      </c>
      <c r="D88" t="s">
        <v>314</v>
      </c>
      <c r="E88" t="s">
        <v>168</v>
      </c>
      <c r="F88" t="s">
        <v>9</v>
      </c>
      <c r="G88" t="s">
        <v>70</v>
      </c>
      <c r="H88" t="s">
        <v>46</v>
      </c>
      <c r="I88" s="5">
        <v>26463</v>
      </c>
      <c r="J88" s="9">
        <f t="shared" ca="1" si="11"/>
        <v>53</v>
      </c>
      <c r="K88" s="9" t="str">
        <f t="shared" ca="1" si="12"/>
        <v>60-70</v>
      </c>
      <c r="L88" s="5">
        <f t="shared" ca="1" si="13"/>
        <v>45991</v>
      </c>
      <c r="M88" s="5" t="s">
        <v>373</v>
      </c>
      <c r="N88" t="s">
        <v>373</v>
      </c>
      <c r="O88" s="5">
        <v>39818</v>
      </c>
      <c r="P88" s="10" t="str">
        <f t="shared" si="14"/>
        <v>January</v>
      </c>
      <c r="Q88" s="9">
        <f t="shared" ca="1" si="15"/>
        <v>16</v>
      </c>
      <c r="R88">
        <v>0</v>
      </c>
      <c r="S88" t="str">
        <f t="shared" si="16"/>
        <v>Unpaid</v>
      </c>
      <c r="T88" t="str">
        <f t="shared" si="17"/>
        <v xml:space="preserve"> </v>
      </c>
      <c r="U88" t="str">
        <f t="shared" si="18"/>
        <v>Omar Richard</v>
      </c>
      <c r="V88" s="18">
        <f>VLOOKUP(A88,'Staff Salary'!A87:B188,2)</f>
        <v>120</v>
      </c>
      <c r="W88" s="13">
        <f t="shared" si="19"/>
        <v>24</v>
      </c>
      <c r="X88" s="8">
        <v>0.2</v>
      </c>
    </row>
    <row r="89" spans="1:24">
      <c r="A89">
        <v>87</v>
      </c>
      <c r="B89" t="str">
        <f t="shared" si="10"/>
        <v>Rafael Robert</v>
      </c>
      <c r="C89" t="s">
        <v>281</v>
      </c>
      <c r="D89" t="s">
        <v>315</v>
      </c>
      <c r="E89" t="s">
        <v>169</v>
      </c>
      <c r="F89" t="s">
        <v>9</v>
      </c>
      <c r="G89" t="s">
        <v>170</v>
      </c>
      <c r="H89" t="s">
        <v>85</v>
      </c>
      <c r="I89" s="5">
        <v>30783</v>
      </c>
      <c r="J89" s="9">
        <f t="shared" ca="1" si="11"/>
        <v>41</v>
      </c>
      <c r="K89" s="9" t="str">
        <f t="shared" ca="1" si="12"/>
        <v>50-60</v>
      </c>
      <c r="L89" s="5">
        <f t="shared" ca="1" si="13"/>
        <v>45991</v>
      </c>
      <c r="M89" s="5" t="s">
        <v>373</v>
      </c>
      <c r="N89" t="s">
        <v>373</v>
      </c>
      <c r="O89" s="5">
        <v>39804</v>
      </c>
      <c r="P89" s="10" t="str">
        <f t="shared" si="14"/>
        <v>December</v>
      </c>
      <c r="Q89" s="9">
        <f t="shared" ca="1" si="15"/>
        <v>16</v>
      </c>
      <c r="R89">
        <v>1</v>
      </c>
      <c r="S89" t="str">
        <f t="shared" si="16"/>
        <v>Paid</v>
      </c>
      <c r="T89" t="str">
        <f t="shared" si="17"/>
        <v>Rafael Robert</v>
      </c>
      <c r="U89" t="str">
        <f t="shared" si="18"/>
        <v xml:space="preserve"> </v>
      </c>
      <c r="V89" s="18">
        <f>VLOOKUP(A89,'Staff Salary'!A88:B189,2)</f>
        <v>190</v>
      </c>
      <c r="W89" s="13">
        <f t="shared" si="19"/>
        <v>38</v>
      </c>
      <c r="X89" s="8">
        <v>0.2</v>
      </c>
    </row>
    <row r="90" spans="1:24">
      <c r="A90">
        <v>88</v>
      </c>
      <c r="B90" t="str">
        <f t="shared" si="10"/>
        <v>Randy Samuel</v>
      </c>
      <c r="C90" t="s">
        <v>282</v>
      </c>
      <c r="D90" t="s">
        <v>317</v>
      </c>
      <c r="E90" t="s">
        <v>171</v>
      </c>
      <c r="F90" t="s">
        <v>5</v>
      </c>
      <c r="G90" t="s">
        <v>63</v>
      </c>
      <c r="H90" t="s">
        <v>64</v>
      </c>
      <c r="I90" s="5">
        <v>24458</v>
      </c>
      <c r="J90" s="9">
        <f t="shared" ca="1" si="11"/>
        <v>58</v>
      </c>
      <c r="K90" s="9" t="str">
        <f t="shared" ca="1" si="12"/>
        <v>60-70</v>
      </c>
      <c r="L90" s="5">
        <f t="shared" ca="1" si="13"/>
        <v>45991</v>
      </c>
      <c r="M90" s="5" t="s">
        <v>372</v>
      </c>
      <c r="N90" t="s">
        <v>374</v>
      </c>
      <c r="O90" s="5">
        <v>40165</v>
      </c>
      <c r="P90" s="10" t="str">
        <f t="shared" si="14"/>
        <v>December</v>
      </c>
      <c r="Q90" s="9">
        <f t="shared" ca="1" si="15"/>
        <v>15</v>
      </c>
      <c r="R90">
        <v>0</v>
      </c>
      <c r="S90" t="str">
        <f t="shared" si="16"/>
        <v>Unpaid</v>
      </c>
      <c r="T90" t="str">
        <f t="shared" si="17"/>
        <v xml:space="preserve"> </v>
      </c>
      <c r="U90" t="str">
        <f t="shared" si="18"/>
        <v>Randy Samuel</v>
      </c>
      <c r="V90" s="18">
        <f>VLOOKUP(A90,'Staff Salary'!A89:B190,2)</f>
        <v>120</v>
      </c>
      <c r="W90" s="13">
        <f t="shared" si="19"/>
        <v>0</v>
      </c>
      <c r="X90" s="8">
        <v>0.2</v>
      </c>
    </row>
    <row r="91" spans="1:24">
      <c r="A91">
        <v>89</v>
      </c>
      <c r="B91" t="str">
        <f t="shared" si="10"/>
        <v>Roger Sara</v>
      </c>
      <c r="C91" t="s">
        <v>283</v>
      </c>
      <c r="D91" t="s">
        <v>318</v>
      </c>
      <c r="E91" t="s">
        <v>172</v>
      </c>
      <c r="F91" t="s">
        <v>5</v>
      </c>
      <c r="G91" t="s">
        <v>91</v>
      </c>
      <c r="H91" t="s">
        <v>92</v>
      </c>
      <c r="I91" s="5">
        <v>31665</v>
      </c>
      <c r="J91" s="9">
        <f t="shared" ca="1" si="11"/>
        <v>39</v>
      </c>
      <c r="K91" s="9" t="str">
        <f t="shared" ca="1" si="12"/>
        <v>40-50</v>
      </c>
      <c r="L91" s="5">
        <f t="shared" ca="1" si="13"/>
        <v>45991</v>
      </c>
      <c r="M91" s="5" t="s">
        <v>372</v>
      </c>
      <c r="N91" t="s">
        <v>373</v>
      </c>
      <c r="O91" s="5">
        <v>40210</v>
      </c>
      <c r="P91" s="10" t="str">
        <f t="shared" si="14"/>
        <v>February</v>
      </c>
      <c r="Q91" s="9">
        <f t="shared" ca="1" si="15"/>
        <v>15</v>
      </c>
      <c r="R91">
        <v>1</v>
      </c>
      <c r="S91" t="str">
        <f t="shared" si="16"/>
        <v>Paid</v>
      </c>
      <c r="T91" t="str">
        <f t="shared" si="17"/>
        <v>Roger Sara</v>
      </c>
      <c r="U91" t="str">
        <f t="shared" si="18"/>
        <v xml:space="preserve"> </v>
      </c>
      <c r="V91" s="18">
        <f>VLOOKUP(A91,'Staff Salary'!A90:B191,2)</f>
        <v>120</v>
      </c>
      <c r="W91" s="13">
        <f t="shared" si="19"/>
        <v>0</v>
      </c>
      <c r="X91" s="8">
        <v>0.2</v>
      </c>
    </row>
    <row r="92" spans="1:24">
      <c r="A92">
        <v>90</v>
      </c>
      <c r="B92" t="str">
        <f t="shared" si="10"/>
        <v>Ronnie Savannah</v>
      </c>
      <c r="C92" t="s">
        <v>284</v>
      </c>
      <c r="D92" t="s">
        <v>367</v>
      </c>
      <c r="E92" t="s">
        <v>173</v>
      </c>
      <c r="F92" t="s">
        <v>9</v>
      </c>
      <c r="G92" t="s">
        <v>174</v>
      </c>
      <c r="H92" t="s">
        <v>23</v>
      </c>
      <c r="I92" s="5">
        <v>31662</v>
      </c>
      <c r="J92" s="9">
        <f t="shared" ca="1" si="11"/>
        <v>39</v>
      </c>
      <c r="K92" s="9" t="str">
        <f t="shared" ca="1" si="12"/>
        <v>40-50</v>
      </c>
      <c r="L92" s="5">
        <f t="shared" ca="1" si="13"/>
        <v>45991</v>
      </c>
      <c r="M92" s="5" t="s">
        <v>372</v>
      </c>
      <c r="N92" t="s">
        <v>374</v>
      </c>
      <c r="O92" s="5">
        <v>40229</v>
      </c>
      <c r="P92" s="10" t="str">
        <f t="shared" si="14"/>
        <v>February</v>
      </c>
      <c r="Q92" s="9">
        <f t="shared" ca="1" si="15"/>
        <v>15</v>
      </c>
      <c r="R92">
        <v>0</v>
      </c>
      <c r="S92" t="str">
        <f t="shared" si="16"/>
        <v>Unpaid</v>
      </c>
      <c r="T92" t="str">
        <f t="shared" si="17"/>
        <v xml:space="preserve"> </v>
      </c>
      <c r="U92" t="str">
        <f t="shared" si="18"/>
        <v>Ronnie Savannah</v>
      </c>
      <c r="V92" s="18">
        <f>VLOOKUP(A92,'Staff Salary'!A91:B192,2)</f>
        <v>110</v>
      </c>
      <c r="W92" s="13">
        <f t="shared" si="19"/>
        <v>0</v>
      </c>
      <c r="X92" s="8">
        <v>0.2</v>
      </c>
    </row>
    <row r="93" spans="1:24">
      <c r="A93">
        <v>91</v>
      </c>
      <c r="B93" t="str">
        <f t="shared" si="10"/>
        <v>Sandra Sean</v>
      </c>
      <c r="C93" t="s">
        <v>285</v>
      </c>
      <c r="D93" t="s">
        <v>320</v>
      </c>
      <c r="E93" t="s">
        <v>175</v>
      </c>
      <c r="F93" t="s">
        <v>9</v>
      </c>
      <c r="G93" t="s">
        <v>84</v>
      </c>
      <c r="H93" t="s">
        <v>85</v>
      </c>
      <c r="I93" s="5">
        <v>31668</v>
      </c>
      <c r="J93" s="9">
        <f t="shared" ca="1" si="11"/>
        <v>39</v>
      </c>
      <c r="K93" s="9" t="str">
        <f t="shared" ca="1" si="12"/>
        <v>40-50</v>
      </c>
      <c r="L93" s="5">
        <f t="shared" ca="1" si="13"/>
        <v>45991</v>
      </c>
      <c r="M93" s="5" t="s">
        <v>372</v>
      </c>
      <c r="N93" t="s">
        <v>374</v>
      </c>
      <c r="O93" s="5">
        <v>40190</v>
      </c>
      <c r="P93" s="10" t="str">
        <f t="shared" si="14"/>
        <v>January</v>
      </c>
      <c r="Q93" s="9">
        <f t="shared" ca="1" si="15"/>
        <v>15</v>
      </c>
      <c r="R93">
        <v>1</v>
      </c>
      <c r="S93" t="str">
        <f t="shared" si="16"/>
        <v>Paid</v>
      </c>
      <c r="T93" t="str">
        <f t="shared" si="17"/>
        <v>Sandra Sean</v>
      </c>
      <c r="U93" t="str">
        <f t="shared" si="18"/>
        <v xml:space="preserve"> </v>
      </c>
      <c r="V93" s="18">
        <f>VLOOKUP(A93,'Staff Salary'!A92:B193,2)</f>
        <v>120</v>
      </c>
      <c r="W93" s="13">
        <f t="shared" si="19"/>
        <v>0</v>
      </c>
      <c r="X93" s="8">
        <v>0.2</v>
      </c>
    </row>
    <row r="94" spans="1:24">
      <c r="A94">
        <v>92</v>
      </c>
      <c r="B94" t="str">
        <f t="shared" si="10"/>
        <v>Shannon Seth</v>
      </c>
      <c r="C94" t="s">
        <v>286</v>
      </c>
      <c r="D94" t="s">
        <v>321</v>
      </c>
      <c r="E94" t="s">
        <v>176</v>
      </c>
      <c r="F94" t="s">
        <v>5</v>
      </c>
      <c r="G94" t="s">
        <v>177</v>
      </c>
      <c r="H94" t="s">
        <v>146</v>
      </c>
      <c r="I94" s="5">
        <v>31686</v>
      </c>
      <c r="J94" s="9">
        <f t="shared" ca="1" si="11"/>
        <v>39</v>
      </c>
      <c r="K94" s="9" t="str">
        <f t="shared" ca="1" si="12"/>
        <v>40-50</v>
      </c>
      <c r="L94" s="5">
        <f t="shared" ca="1" si="13"/>
        <v>45991</v>
      </c>
      <c r="M94" s="5" t="s">
        <v>373</v>
      </c>
      <c r="N94" t="s">
        <v>373</v>
      </c>
      <c r="O94" s="5">
        <v>40247</v>
      </c>
      <c r="P94" s="10" t="str">
        <f t="shared" si="14"/>
        <v>March</v>
      </c>
      <c r="Q94" s="9">
        <f t="shared" ca="1" si="15"/>
        <v>15</v>
      </c>
      <c r="R94">
        <v>0</v>
      </c>
      <c r="S94" t="str">
        <f t="shared" si="16"/>
        <v>Unpaid</v>
      </c>
      <c r="T94" t="str">
        <f t="shared" si="17"/>
        <v xml:space="preserve"> </v>
      </c>
      <c r="U94" t="str">
        <f t="shared" si="18"/>
        <v>Shannon Seth</v>
      </c>
      <c r="V94" s="18">
        <f>VLOOKUP(A94,'Staff Salary'!A93:B194,2)</f>
        <v>190</v>
      </c>
      <c r="W94" s="13">
        <f t="shared" si="19"/>
        <v>0</v>
      </c>
      <c r="X94" s="8">
        <v>0.2</v>
      </c>
    </row>
    <row r="95" spans="1:24">
      <c r="A95">
        <v>93</v>
      </c>
      <c r="B95" t="str">
        <f t="shared" si="10"/>
        <v>Stacey Stephanie</v>
      </c>
      <c r="C95" t="s">
        <v>287</v>
      </c>
      <c r="D95" t="s">
        <v>322</v>
      </c>
      <c r="E95" t="s">
        <v>178</v>
      </c>
      <c r="F95" t="s">
        <v>18</v>
      </c>
      <c r="G95" t="s">
        <v>33</v>
      </c>
      <c r="H95" t="s">
        <v>34</v>
      </c>
      <c r="I95" s="5">
        <v>29339</v>
      </c>
      <c r="J95" s="9">
        <f t="shared" ca="1" si="11"/>
        <v>45</v>
      </c>
      <c r="K95" s="9" t="str">
        <f t="shared" ca="1" si="12"/>
        <v>50-60</v>
      </c>
      <c r="L95" s="5">
        <f t="shared" ca="1" si="13"/>
        <v>45991</v>
      </c>
      <c r="M95" s="5" t="s">
        <v>372</v>
      </c>
      <c r="N95" t="s">
        <v>373</v>
      </c>
      <c r="O95" s="5">
        <v>39809</v>
      </c>
      <c r="P95" s="10" t="str">
        <f t="shared" si="14"/>
        <v>December</v>
      </c>
      <c r="Q95" s="9">
        <f t="shared" ca="1" si="15"/>
        <v>16</v>
      </c>
      <c r="R95">
        <v>1</v>
      </c>
      <c r="S95" t="str">
        <f t="shared" si="16"/>
        <v>Paid</v>
      </c>
      <c r="T95" t="str">
        <f t="shared" si="17"/>
        <v>Stacey Stephanie</v>
      </c>
      <c r="U95" t="str">
        <f t="shared" si="18"/>
        <v xml:space="preserve"> </v>
      </c>
      <c r="V95" s="18">
        <f>VLOOKUP(A95,'Staff Salary'!A94:B195,2)</f>
        <v>610</v>
      </c>
      <c r="W95" s="13">
        <f t="shared" si="19"/>
        <v>0</v>
      </c>
      <c r="X95" s="8">
        <v>0.2</v>
      </c>
    </row>
    <row r="96" spans="1:24">
      <c r="A96">
        <v>94</v>
      </c>
      <c r="B96" t="str">
        <f t="shared" si="10"/>
        <v>Susan Sydney</v>
      </c>
      <c r="C96" t="s">
        <v>288</v>
      </c>
      <c r="D96" t="s">
        <v>324</v>
      </c>
      <c r="E96" t="s">
        <v>179</v>
      </c>
      <c r="F96" t="s">
        <v>9</v>
      </c>
      <c r="G96" t="s">
        <v>180</v>
      </c>
      <c r="H96" t="s">
        <v>28</v>
      </c>
      <c r="I96" s="5">
        <v>26628</v>
      </c>
      <c r="J96" s="9">
        <f t="shared" ca="1" si="11"/>
        <v>53</v>
      </c>
      <c r="K96" s="9" t="str">
        <f t="shared" ca="1" si="12"/>
        <v>60-70</v>
      </c>
      <c r="L96" s="5">
        <f t="shared" ca="1" si="13"/>
        <v>45991</v>
      </c>
      <c r="M96" s="5" t="s">
        <v>373</v>
      </c>
      <c r="N96" t="s">
        <v>373</v>
      </c>
      <c r="O96" s="5">
        <v>39794</v>
      </c>
      <c r="P96" s="10" t="str">
        <f t="shared" si="14"/>
        <v>December</v>
      </c>
      <c r="Q96" s="9">
        <f t="shared" ca="1" si="15"/>
        <v>16</v>
      </c>
      <c r="R96">
        <v>1</v>
      </c>
      <c r="S96" t="str">
        <f t="shared" si="16"/>
        <v>Paid</v>
      </c>
      <c r="T96" t="str">
        <f t="shared" si="17"/>
        <v>Susan Sydney</v>
      </c>
      <c r="U96" t="str">
        <f t="shared" si="18"/>
        <v xml:space="preserve"> </v>
      </c>
      <c r="V96" s="18">
        <f>VLOOKUP(A96,'Staff Salary'!A95:B196,2)</f>
        <v>190</v>
      </c>
      <c r="W96" s="13">
        <f t="shared" si="19"/>
        <v>38</v>
      </c>
      <c r="X96" s="8">
        <v>0.2</v>
      </c>
    </row>
    <row r="97" spans="1:24">
      <c r="A97">
        <v>95</v>
      </c>
      <c r="B97" t="str">
        <f t="shared" si="10"/>
        <v>Suzanne Thomas</v>
      </c>
      <c r="C97" t="s">
        <v>289</v>
      </c>
      <c r="D97" t="s">
        <v>325</v>
      </c>
      <c r="E97" t="s">
        <v>181</v>
      </c>
      <c r="F97" t="s">
        <v>18</v>
      </c>
      <c r="G97" t="s">
        <v>33</v>
      </c>
      <c r="H97" t="s">
        <v>34</v>
      </c>
      <c r="I97" s="5">
        <v>31663</v>
      </c>
      <c r="J97" s="9">
        <f t="shared" ca="1" si="11"/>
        <v>39</v>
      </c>
      <c r="K97" s="9" t="str">
        <f t="shared" ca="1" si="12"/>
        <v>40-50</v>
      </c>
      <c r="L97" s="5">
        <f t="shared" ca="1" si="13"/>
        <v>45991</v>
      </c>
      <c r="M97" s="5" t="s">
        <v>373</v>
      </c>
      <c r="N97" t="s">
        <v>373</v>
      </c>
      <c r="O97" s="5">
        <v>39801</v>
      </c>
      <c r="P97" s="10" t="str">
        <f t="shared" si="14"/>
        <v>December</v>
      </c>
      <c r="Q97" s="9">
        <f t="shared" ca="1" si="15"/>
        <v>16</v>
      </c>
      <c r="R97">
        <v>1</v>
      </c>
      <c r="S97" t="str">
        <f t="shared" si="16"/>
        <v>Paid</v>
      </c>
      <c r="T97" t="str">
        <f t="shared" si="17"/>
        <v>Suzanne Thomas</v>
      </c>
      <c r="U97" t="str">
        <f t="shared" si="18"/>
        <v xml:space="preserve"> </v>
      </c>
      <c r="V97" s="18">
        <f>VLOOKUP(A97,'Staff Salary'!A96:B197,2)</f>
        <v>360</v>
      </c>
      <c r="W97" s="13">
        <f t="shared" si="19"/>
        <v>0</v>
      </c>
      <c r="X97" s="8">
        <v>0.2</v>
      </c>
    </row>
    <row r="98" spans="1:24">
      <c r="A98">
        <v>96</v>
      </c>
      <c r="B98" t="str">
        <f t="shared" si="10"/>
        <v>Tamara Wyatt</v>
      </c>
      <c r="C98" t="s">
        <v>290</v>
      </c>
      <c r="D98" t="s">
        <v>326</v>
      </c>
      <c r="E98" t="s">
        <v>182</v>
      </c>
      <c r="F98" t="s">
        <v>9</v>
      </c>
      <c r="G98" t="s">
        <v>183</v>
      </c>
      <c r="H98" t="s">
        <v>23</v>
      </c>
      <c r="I98" s="5">
        <v>32898</v>
      </c>
      <c r="J98" s="9">
        <f t="shared" ca="1" si="11"/>
        <v>35</v>
      </c>
      <c r="K98" s="9" t="str">
        <f t="shared" ca="1" si="12"/>
        <v>40-50</v>
      </c>
      <c r="L98" s="5">
        <f t="shared" ca="1" si="13"/>
        <v>45991</v>
      </c>
      <c r="M98" s="5" t="s">
        <v>373</v>
      </c>
      <c r="N98" t="s">
        <v>374</v>
      </c>
      <c r="O98" s="5">
        <v>39874</v>
      </c>
      <c r="P98" s="10" t="str">
        <f t="shared" si="14"/>
        <v>March</v>
      </c>
      <c r="Q98" s="9">
        <f t="shared" ca="1" si="15"/>
        <v>16</v>
      </c>
      <c r="R98">
        <v>0</v>
      </c>
      <c r="S98" t="str">
        <f t="shared" si="16"/>
        <v>Unpaid</v>
      </c>
      <c r="T98" t="str">
        <f t="shared" si="17"/>
        <v xml:space="preserve"> </v>
      </c>
      <c r="U98" t="str">
        <f t="shared" si="18"/>
        <v>Tamara Wyatt</v>
      </c>
      <c r="V98" s="18">
        <f>VLOOKUP(A98,'Staff Salary'!A97:B198,2)</f>
        <v>190</v>
      </c>
      <c r="W98" s="13">
        <f t="shared" si="19"/>
        <v>0</v>
      </c>
      <c r="X98" s="8">
        <v>0.2</v>
      </c>
    </row>
    <row r="99" spans="1:24">
      <c r="A99">
        <v>97</v>
      </c>
      <c r="B99" t="str">
        <f t="shared" si="10"/>
        <v>Tiffany Xavier</v>
      </c>
      <c r="C99" t="s">
        <v>291</v>
      </c>
      <c r="D99" t="s">
        <v>327</v>
      </c>
      <c r="E99" t="s">
        <v>184</v>
      </c>
      <c r="F99" t="s">
        <v>9</v>
      </c>
      <c r="G99" t="s">
        <v>185</v>
      </c>
      <c r="H99" t="s">
        <v>16</v>
      </c>
      <c r="I99" s="5">
        <v>31492</v>
      </c>
      <c r="J99" s="9">
        <f t="shared" ca="1" si="11"/>
        <v>39</v>
      </c>
      <c r="K99" s="9" t="str">
        <f t="shared" ca="1" si="12"/>
        <v>40-50</v>
      </c>
      <c r="L99" s="5">
        <f t="shared" ca="1" si="13"/>
        <v>45991</v>
      </c>
      <c r="M99" s="5" t="s">
        <v>372</v>
      </c>
      <c r="N99" t="s">
        <v>373</v>
      </c>
      <c r="O99" s="5">
        <v>39854</v>
      </c>
      <c r="P99" s="10" t="str">
        <f t="shared" si="14"/>
        <v>February</v>
      </c>
      <c r="Q99" s="9">
        <f t="shared" ca="1" si="15"/>
        <v>16</v>
      </c>
      <c r="R99">
        <v>1</v>
      </c>
      <c r="S99" t="str">
        <f t="shared" si="16"/>
        <v>Paid</v>
      </c>
      <c r="T99" t="str">
        <f t="shared" si="17"/>
        <v>Tiffany Xavier</v>
      </c>
      <c r="U99" t="str">
        <f t="shared" si="18"/>
        <v xml:space="preserve"> </v>
      </c>
      <c r="V99" s="18">
        <f>VLOOKUP(A99,'Staff Salary'!A98:B199,2)</f>
        <v>190</v>
      </c>
      <c r="W99" s="13">
        <f t="shared" si="19"/>
        <v>38</v>
      </c>
      <c r="X99" s="8">
        <v>0.2</v>
      </c>
    </row>
    <row r="100" spans="1:24">
      <c r="A100">
        <v>98</v>
      </c>
      <c r="B100" t="str">
        <f t="shared" si="10"/>
        <v>Todd Ronald</v>
      </c>
      <c r="C100" t="s">
        <v>292</v>
      </c>
      <c r="D100" t="s">
        <v>368</v>
      </c>
      <c r="E100" t="s">
        <v>186</v>
      </c>
      <c r="F100" t="s">
        <v>5</v>
      </c>
      <c r="G100" t="s">
        <v>187</v>
      </c>
      <c r="H100" t="s">
        <v>89</v>
      </c>
      <c r="I100" s="5">
        <v>28667</v>
      </c>
      <c r="J100" s="9">
        <f t="shared" ca="1" si="11"/>
        <v>47</v>
      </c>
      <c r="K100" s="9" t="str">
        <f t="shared" ca="1" si="12"/>
        <v>50-60</v>
      </c>
      <c r="L100" s="5">
        <f t="shared" ca="1" si="13"/>
        <v>45991</v>
      </c>
      <c r="M100" s="5" t="s">
        <v>373</v>
      </c>
      <c r="N100" t="s">
        <v>373</v>
      </c>
      <c r="O100" s="5">
        <v>39855</v>
      </c>
      <c r="P100" s="10" t="str">
        <f t="shared" si="14"/>
        <v>February</v>
      </c>
      <c r="Q100" s="9">
        <f t="shared" ca="1" si="15"/>
        <v>16</v>
      </c>
      <c r="R100">
        <v>1</v>
      </c>
      <c r="S100" t="str">
        <f t="shared" si="16"/>
        <v>Paid</v>
      </c>
      <c r="T100" t="str">
        <f t="shared" si="17"/>
        <v>Todd Ronald</v>
      </c>
      <c r="U100" t="str">
        <f t="shared" si="18"/>
        <v xml:space="preserve"> </v>
      </c>
      <c r="V100" s="18">
        <f>VLOOKUP(A100,'Staff Salary'!A99:B200,2)</f>
        <v>190</v>
      </c>
      <c r="W100" s="13">
        <f t="shared" si="19"/>
        <v>0</v>
      </c>
      <c r="X100" s="8">
        <v>0.2</v>
      </c>
    </row>
    <row r="101" spans="1:24">
      <c r="A101">
        <v>99</v>
      </c>
      <c r="B101" t="str">
        <f t="shared" si="10"/>
        <v>Valerie Osarumwense</v>
      </c>
      <c r="C101" t="s">
        <v>293</v>
      </c>
      <c r="D101" t="s">
        <v>329</v>
      </c>
      <c r="E101" t="s">
        <v>188</v>
      </c>
      <c r="F101" t="s">
        <v>9</v>
      </c>
      <c r="G101" t="s">
        <v>40</v>
      </c>
      <c r="H101" t="s">
        <v>41</v>
      </c>
      <c r="I101" s="5">
        <v>28943</v>
      </c>
      <c r="J101" s="9">
        <f t="shared" ca="1" si="11"/>
        <v>46</v>
      </c>
      <c r="K101" s="9" t="str">
        <f t="shared" ca="1" si="12"/>
        <v>50-60</v>
      </c>
      <c r="L101" s="5">
        <f t="shared" ca="1" si="13"/>
        <v>45991</v>
      </c>
      <c r="M101" s="5" t="s">
        <v>372</v>
      </c>
      <c r="N101" t="s">
        <v>373</v>
      </c>
      <c r="O101" s="5">
        <v>39819</v>
      </c>
      <c r="P101" s="10" t="str">
        <f t="shared" si="14"/>
        <v>January</v>
      </c>
      <c r="Q101" s="9">
        <f t="shared" ca="1" si="15"/>
        <v>16</v>
      </c>
      <c r="R101">
        <v>1</v>
      </c>
      <c r="S101" t="str">
        <f t="shared" si="16"/>
        <v>Paid</v>
      </c>
      <c r="T101" t="str">
        <f t="shared" si="17"/>
        <v>Valerie Osarumwense</v>
      </c>
      <c r="U101" t="str">
        <f t="shared" si="18"/>
        <v xml:space="preserve"> </v>
      </c>
      <c r="V101" s="18">
        <f>VLOOKUP(A101,'Staff Salary'!A100:B201,2)</f>
        <v>160</v>
      </c>
      <c r="W101" s="13">
        <f t="shared" si="19"/>
        <v>32</v>
      </c>
      <c r="X101" s="8">
        <v>0.2</v>
      </c>
    </row>
    <row r="102" spans="1:24">
      <c r="A102">
        <v>100</v>
      </c>
      <c r="B102" t="str">
        <f t="shared" si="10"/>
        <v>Vincent Samuel</v>
      </c>
      <c r="C102" t="s">
        <v>282</v>
      </c>
      <c r="D102" t="s">
        <v>330</v>
      </c>
      <c r="E102" t="s">
        <v>189</v>
      </c>
      <c r="F102" t="s">
        <v>9</v>
      </c>
      <c r="G102" t="s">
        <v>80</v>
      </c>
      <c r="H102" t="s">
        <v>53</v>
      </c>
      <c r="I102" s="5">
        <v>26688</v>
      </c>
      <c r="J102" s="9">
        <f t="shared" ca="1" si="11"/>
        <v>52</v>
      </c>
      <c r="K102" s="9" t="str">
        <f t="shared" ca="1" si="12"/>
        <v>60-70</v>
      </c>
      <c r="L102" s="5">
        <f t="shared" ca="1" si="13"/>
        <v>45991</v>
      </c>
      <c r="M102" s="5" t="s">
        <v>373</v>
      </c>
      <c r="N102" t="s">
        <v>373</v>
      </c>
      <c r="O102" s="5">
        <v>39825</v>
      </c>
      <c r="P102" s="10" t="str">
        <f t="shared" si="14"/>
        <v>January</v>
      </c>
      <c r="Q102" s="9">
        <f t="shared" ca="1" si="15"/>
        <v>16</v>
      </c>
      <c r="R102">
        <v>1</v>
      </c>
      <c r="S102" t="str">
        <f t="shared" si="16"/>
        <v>Paid</v>
      </c>
      <c r="T102" t="str">
        <f t="shared" si="17"/>
        <v>Vincent Samuel</v>
      </c>
      <c r="U102" t="str">
        <f t="shared" si="18"/>
        <v xml:space="preserve"> </v>
      </c>
      <c r="V102" s="18">
        <f>VLOOKUP(A102,'Staff Salary'!A101:B202,2)</f>
        <v>120</v>
      </c>
      <c r="W102" s="13">
        <f t="shared" si="19"/>
        <v>24</v>
      </c>
      <c r="X102" s="8">
        <v>0.2</v>
      </c>
    </row>
    <row r="103" spans="1:24">
      <c r="A103">
        <v>101</v>
      </c>
      <c r="B103" t="str">
        <f t="shared" si="10"/>
        <v>Wesley James</v>
      </c>
      <c r="C103" t="s">
        <v>248</v>
      </c>
      <c r="D103" t="s">
        <v>332</v>
      </c>
      <c r="E103" t="s">
        <v>190</v>
      </c>
      <c r="F103" t="s">
        <v>9</v>
      </c>
      <c r="G103" t="s">
        <v>191</v>
      </c>
      <c r="H103" t="s">
        <v>23</v>
      </c>
      <c r="I103" s="5">
        <v>26175</v>
      </c>
      <c r="J103" s="9">
        <f t="shared" ca="1" si="11"/>
        <v>54</v>
      </c>
      <c r="K103" s="9" t="str">
        <f t="shared" ca="1" si="12"/>
        <v>60-70</v>
      </c>
      <c r="L103" s="5">
        <f t="shared" ca="1" si="13"/>
        <v>45991</v>
      </c>
      <c r="M103" s="5" t="s">
        <v>373</v>
      </c>
      <c r="N103" t="s">
        <v>373</v>
      </c>
      <c r="O103" s="5">
        <v>39838</v>
      </c>
      <c r="P103" s="10" t="str">
        <f t="shared" si="14"/>
        <v>January</v>
      </c>
      <c r="Q103" s="9">
        <f t="shared" ca="1" si="15"/>
        <v>16</v>
      </c>
      <c r="R103">
        <v>1</v>
      </c>
      <c r="S103" t="str">
        <f t="shared" si="16"/>
        <v>Paid</v>
      </c>
      <c r="T103" t="str">
        <f t="shared" si="17"/>
        <v>Wesley James</v>
      </c>
      <c r="U103" t="str">
        <f t="shared" si="18"/>
        <v xml:space="preserve"> </v>
      </c>
      <c r="V103" s="18">
        <f>VLOOKUP(A103,'Staff Salary'!A102:B203,2)</f>
        <v>110</v>
      </c>
      <c r="W103" s="13">
        <f t="shared" si="19"/>
        <v>22</v>
      </c>
      <c r="X103" s="8">
        <v>0.2</v>
      </c>
    </row>
    <row r="104" spans="1:24">
      <c r="A104">
        <v>102</v>
      </c>
      <c r="B104" t="str">
        <f t="shared" si="10"/>
        <v>Willie Robert</v>
      </c>
      <c r="C104" t="s">
        <v>281</v>
      </c>
      <c r="D104" t="s">
        <v>369</v>
      </c>
      <c r="E104" t="s">
        <v>192</v>
      </c>
      <c r="F104" t="s">
        <v>5</v>
      </c>
      <c r="G104" t="s">
        <v>187</v>
      </c>
      <c r="H104" t="s">
        <v>89</v>
      </c>
      <c r="I104" s="5">
        <v>30615</v>
      </c>
      <c r="J104" s="9">
        <f t="shared" ca="1" si="11"/>
        <v>42</v>
      </c>
      <c r="K104" s="9" t="str">
        <f t="shared" ca="1" si="12"/>
        <v>50-60</v>
      </c>
      <c r="L104" s="5">
        <f t="shared" ca="1" si="13"/>
        <v>45991</v>
      </c>
      <c r="M104" s="5" t="s">
        <v>372</v>
      </c>
      <c r="N104" t="s">
        <v>373</v>
      </c>
      <c r="O104" s="5">
        <v>39785</v>
      </c>
      <c r="P104" s="10" t="str">
        <f t="shared" si="14"/>
        <v>December</v>
      </c>
      <c r="Q104" s="9">
        <f t="shared" ca="1" si="15"/>
        <v>16</v>
      </c>
      <c r="R104">
        <v>0</v>
      </c>
      <c r="S104" t="str">
        <f t="shared" si="16"/>
        <v>Unpaid</v>
      </c>
      <c r="T104" t="str">
        <f t="shared" si="17"/>
        <v xml:space="preserve"> </v>
      </c>
      <c r="U104" t="str">
        <f t="shared" si="18"/>
        <v>Willie Robert</v>
      </c>
      <c r="V104" s="18">
        <f>VLOOKUP(A104,'Staff Salary'!A103:B204,2)</f>
        <v>610</v>
      </c>
      <c r="W104" s="13">
        <f>IF(AND(TRIM(N104) = "M",TRIM(F104) ="USA"),V104*X104,0)</f>
        <v>0</v>
      </c>
      <c r="X104" s="8">
        <v>0.2</v>
      </c>
    </row>
    <row r="105" spans="1:24">
      <c r="I105" s="5"/>
      <c r="J105" s="5"/>
      <c r="K105" s="5"/>
      <c r="L105" s="5"/>
      <c r="O105" s="5"/>
      <c r="P105" s="5"/>
      <c r="Q105" s="5"/>
    </row>
    <row r="106" spans="1:24">
      <c r="M106"/>
    </row>
    <row r="107" spans="1:24">
      <c r="M107"/>
    </row>
    <row r="108" spans="1:24">
      <c r="M108"/>
    </row>
    <row r="109" spans="1:24">
      <c r="M109"/>
    </row>
    <row r="110" spans="1:24">
      <c r="M110"/>
    </row>
    <row r="111" spans="1:24">
      <c r="M111"/>
    </row>
    <row r="112" spans="1:24">
      <c r="M112"/>
    </row>
    <row r="113" spans="13:13">
      <c r="M113"/>
    </row>
    <row r="114" spans="13:13">
      <c r="M114"/>
    </row>
    <row r="115" spans="13:13">
      <c r="M115"/>
    </row>
    <row r="116" spans="13:13">
      <c r="M116"/>
    </row>
    <row r="117" spans="13:13">
      <c r="M117"/>
    </row>
    <row r="118" spans="13:13">
      <c r="M118"/>
    </row>
    <row r="119" spans="13:13">
      <c r="M119"/>
    </row>
    <row r="120" spans="13:13">
      <c r="M120"/>
    </row>
    <row r="121" spans="13:13">
      <c r="M121"/>
    </row>
    <row r="122" spans="13:13">
      <c r="M122"/>
    </row>
    <row r="123" spans="13:13">
      <c r="M123"/>
    </row>
    <row r="124" spans="13:13">
      <c r="M124"/>
    </row>
    <row r="125" spans="13:13">
      <c r="M125"/>
    </row>
    <row r="126" spans="13:13">
      <c r="M126"/>
    </row>
    <row r="127" spans="13:13">
      <c r="M127"/>
    </row>
    <row r="128" spans="13:13">
      <c r="M128"/>
    </row>
    <row r="129" spans="13:13">
      <c r="M129"/>
    </row>
    <row r="130" spans="13:13">
      <c r="M130"/>
    </row>
    <row r="131" spans="13:13">
      <c r="M131"/>
    </row>
    <row r="132" spans="13:13">
      <c r="M132"/>
    </row>
    <row r="133" spans="13:13">
      <c r="M133"/>
    </row>
    <row r="134" spans="13:13">
      <c r="M134"/>
    </row>
    <row r="135" spans="13:13">
      <c r="M135"/>
    </row>
    <row r="136" spans="13:13">
      <c r="M136"/>
    </row>
    <row r="137" spans="13:13">
      <c r="M137"/>
    </row>
    <row r="138" spans="13:13">
      <c r="M138"/>
    </row>
    <row r="139" spans="13:13">
      <c r="M139"/>
    </row>
    <row r="140" spans="13:13">
      <c r="M140"/>
    </row>
    <row r="141" spans="13:13">
      <c r="M141"/>
    </row>
    <row r="142" spans="13:13">
      <c r="M142"/>
    </row>
    <row r="143" spans="13:13">
      <c r="M143"/>
    </row>
    <row r="144" spans="13:13">
      <c r="M144"/>
    </row>
    <row r="145" spans="13:13">
      <c r="M145"/>
    </row>
    <row r="146" spans="13:13">
      <c r="M146"/>
    </row>
    <row r="147" spans="13:13">
      <c r="M147"/>
    </row>
    <row r="148" spans="13:13">
      <c r="M148"/>
    </row>
    <row r="149" spans="13:13">
      <c r="M149"/>
    </row>
    <row r="150" spans="13:13">
      <c r="M150"/>
    </row>
    <row r="151" spans="13:13">
      <c r="M151"/>
    </row>
    <row r="152" spans="13:13">
      <c r="M152"/>
    </row>
    <row r="153" spans="13:13">
      <c r="M153"/>
    </row>
    <row r="154" spans="13:13">
      <c r="M154"/>
    </row>
    <row r="155" spans="13:13">
      <c r="M155"/>
    </row>
    <row r="156" spans="13:13">
      <c r="M156"/>
    </row>
    <row r="157" spans="13:13">
      <c r="M157"/>
    </row>
    <row r="158" spans="13:13">
      <c r="M158"/>
    </row>
    <row r="159" spans="13:13">
      <c r="M159"/>
    </row>
    <row r="160" spans="13:13">
      <c r="M160"/>
    </row>
    <row r="161" spans="13:13">
      <c r="M161"/>
    </row>
    <row r="162" spans="13:13">
      <c r="M162"/>
    </row>
    <row r="163" spans="13:13">
      <c r="M163"/>
    </row>
    <row r="164" spans="13:13">
      <c r="M164"/>
    </row>
    <row r="165" spans="13:13">
      <c r="M165"/>
    </row>
    <row r="166" spans="13:13">
      <c r="M166"/>
    </row>
    <row r="167" spans="13:13">
      <c r="M167"/>
    </row>
    <row r="168" spans="13:13">
      <c r="M168"/>
    </row>
    <row r="169" spans="13:13">
      <c r="M169"/>
    </row>
    <row r="170" spans="13:13">
      <c r="M170"/>
    </row>
    <row r="171" spans="13:13">
      <c r="M171"/>
    </row>
    <row r="172" spans="13:13">
      <c r="M172"/>
    </row>
    <row r="173" spans="13:13">
      <c r="M173"/>
    </row>
    <row r="174" spans="13:13">
      <c r="M174"/>
    </row>
    <row r="175" spans="13:13">
      <c r="M175"/>
    </row>
    <row r="176" spans="13:13">
      <c r="M176"/>
    </row>
    <row r="177" spans="13:13">
      <c r="M177"/>
    </row>
    <row r="178" spans="13:13">
      <c r="M178"/>
    </row>
    <row r="179" spans="13:13">
      <c r="M179"/>
    </row>
    <row r="180" spans="13:13">
      <c r="M180"/>
    </row>
    <row r="181" spans="13:13">
      <c r="M181"/>
    </row>
    <row r="182" spans="13:13">
      <c r="M182"/>
    </row>
    <row r="183" spans="13:13">
      <c r="M183"/>
    </row>
    <row r="184" spans="13:13">
      <c r="M184"/>
    </row>
    <row r="185" spans="13:13">
      <c r="M185"/>
    </row>
    <row r="186" spans="13:13">
      <c r="M186"/>
    </row>
    <row r="187" spans="13:13">
      <c r="M187"/>
    </row>
    <row r="188" spans="13:13">
      <c r="M188"/>
    </row>
    <row r="189" spans="13:13">
      <c r="M189"/>
    </row>
    <row r="190" spans="13:13">
      <c r="M190"/>
    </row>
    <row r="191" spans="13:13">
      <c r="M191"/>
    </row>
    <row r="192" spans="13:13">
      <c r="M192"/>
    </row>
    <row r="193" spans="13:13">
      <c r="M193"/>
    </row>
    <row r="194" spans="13:13">
      <c r="M194"/>
    </row>
    <row r="195" spans="13:13">
      <c r="M195"/>
    </row>
    <row r="196" spans="13:13">
      <c r="M196"/>
    </row>
    <row r="197" spans="13:13">
      <c r="M197"/>
    </row>
    <row r="198" spans="13:13">
      <c r="M198"/>
    </row>
    <row r="199" spans="13:13">
      <c r="M199"/>
    </row>
    <row r="200" spans="13:13">
      <c r="M200"/>
    </row>
    <row r="201" spans="13:13">
      <c r="M201"/>
    </row>
    <row r="202" spans="13:13">
      <c r="M202"/>
    </row>
    <row r="203" spans="13:13">
      <c r="M203"/>
    </row>
    <row r="204" spans="13:13">
      <c r="M204"/>
    </row>
    <row r="205" spans="13:13">
      <c r="M205"/>
    </row>
    <row r="206" spans="13:13">
      <c r="M206"/>
    </row>
    <row r="207" spans="13:13">
      <c r="M207"/>
    </row>
    <row r="208" spans="13:13">
      <c r="M208"/>
    </row>
    <row r="209" spans="13:13">
      <c r="M209"/>
    </row>
    <row r="210" spans="13:13">
      <c r="M210"/>
    </row>
    <row r="211" spans="13:13">
      <c r="M211"/>
    </row>
    <row r="212" spans="13:13">
      <c r="M212"/>
    </row>
    <row r="213" spans="13:13">
      <c r="M213"/>
    </row>
    <row r="214" spans="13:13">
      <c r="M214"/>
    </row>
    <row r="215" spans="13:13">
      <c r="M215"/>
    </row>
    <row r="216" spans="13:13">
      <c r="M216"/>
    </row>
    <row r="217" spans="13:13">
      <c r="M217"/>
    </row>
    <row r="218" spans="13:13">
      <c r="M218"/>
    </row>
    <row r="219" spans="13:13">
      <c r="M219"/>
    </row>
    <row r="220" spans="13:13">
      <c r="M220"/>
    </row>
    <row r="221" spans="13:13">
      <c r="M221"/>
    </row>
    <row r="222" spans="13:13">
      <c r="M222"/>
    </row>
    <row r="223" spans="13:13">
      <c r="M223"/>
    </row>
    <row r="224" spans="13:13">
      <c r="M224"/>
    </row>
    <row r="225" spans="13:13">
      <c r="M225"/>
    </row>
    <row r="226" spans="13:13">
      <c r="M226"/>
    </row>
    <row r="227" spans="13:13">
      <c r="M227"/>
    </row>
    <row r="228" spans="13:13">
      <c r="M228"/>
    </row>
    <row r="229" spans="13:13">
      <c r="M229"/>
    </row>
    <row r="230" spans="13:13">
      <c r="M230"/>
    </row>
    <row r="231" spans="13:13">
      <c r="M231"/>
    </row>
    <row r="232" spans="13:13">
      <c r="M232"/>
    </row>
    <row r="233" spans="13:13">
      <c r="M233"/>
    </row>
    <row r="234" spans="13:13">
      <c r="M234"/>
    </row>
    <row r="235" spans="13:13">
      <c r="M235"/>
    </row>
    <row r="236" spans="13:13">
      <c r="M236"/>
    </row>
    <row r="237" spans="13:13">
      <c r="M237"/>
    </row>
    <row r="238" spans="13:13">
      <c r="M238"/>
    </row>
    <row r="239" spans="13:13">
      <c r="M239"/>
    </row>
    <row r="240" spans="13:13">
      <c r="M240"/>
    </row>
    <row r="241" spans="13:13">
      <c r="M241"/>
    </row>
    <row r="242" spans="13:13">
      <c r="M242"/>
    </row>
    <row r="243" spans="13:13">
      <c r="M243"/>
    </row>
    <row r="244" spans="13:13">
      <c r="M244"/>
    </row>
    <row r="245" spans="13:13">
      <c r="M245"/>
    </row>
    <row r="246" spans="13:13">
      <c r="M246"/>
    </row>
    <row r="247" spans="13:13">
      <c r="M247"/>
    </row>
    <row r="248" spans="13:13">
      <c r="M248"/>
    </row>
    <row r="249" spans="13:13">
      <c r="M249"/>
    </row>
    <row r="250" spans="13:13">
      <c r="M250"/>
    </row>
    <row r="251" spans="13:13">
      <c r="M251"/>
    </row>
    <row r="252" spans="13:13">
      <c r="M252"/>
    </row>
    <row r="253" spans="13:13">
      <c r="M253"/>
    </row>
    <row r="254" spans="13:13">
      <c r="M254"/>
    </row>
    <row r="255" spans="13:13">
      <c r="M255"/>
    </row>
    <row r="256" spans="13:13">
      <c r="M256"/>
    </row>
    <row r="257" spans="13:13">
      <c r="M257"/>
    </row>
    <row r="258" spans="13:13">
      <c r="M258"/>
    </row>
    <row r="259" spans="13:13">
      <c r="M259"/>
    </row>
    <row r="260" spans="13:13">
      <c r="M260"/>
    </row>
    <row r="261" spans="13:13">
      <c r="M261"/>
    </row>
    <row r="262" spans="13:13">
      <c r="M262"/>
    </row>
    <row r="263" spans="13:13">
      <c r="M263"/>
    </row>
    <row r="264" spans="13:13">
      <c r="M264"/>
    </row>
    <row r="265" spans="13:13">
      <c r="M265"/>
    </row>
    <row r="266" spans="13:13">
      <c r="M266"/>
    </row>
    <row r="267" spans="13:13">
      <c r="M267"/>
    </row>
    <row r="268" spans="13:13">
      <c r="M268"/>
    </row>
    <row r="269" spans="13:13">
      <c r="M269"/>
    </row>
    <row r="270" spans="13:13">
      <c r="M270"/>
    </row>
    <row r="271" spans="13:13">
      <c r="M271"/>
    </row>
    <row r="272" spans="13:13">
      <c r="M272"/>
    </row>
    <row r="273" spans="13:13">
      <c r="M273"/>
    </row>
    <row r="274" spans="13:13">
      <c r="M274"/>
    </row>
    <row r="275" spans="13:13">
      <c r="M275"/>
    </row>
    <row r="276" spans="13:13">
      <c r="M276"/>
    </row>
    <row r="277" spans="13:13">
      <c r="M277"/>
    </row>
    <row r="278" spans="13:13">
      <c r="M278"/>
    </row>
    <row r="279" spans="13:13">
      <c r="M279"/>
    </row>
    <row r="280" spans="13:13">
      <c r="M280"/>
    </row>
    <row r="281" spans="13:13">
      <c r="M281"/>
    </row>
    <row r="282" spans="13:13">
      <c r="M282"/>
    </row>
    <row r="283" spans="13:13">
      <c r="M283"/>
    </row>
    <row r="284" spans="13:13">
      <c r="M284"/>
    </row>
    <row r="285" spans="13:13">
      <c r="M285"/>
    </row>
    <row r="286" spans="13:13">
      <c r="M286"/>
    </row>
    <row r="287" spans="13:13">
      <c r="M287"/>
    </row>
    <row r="288" spans="13:13">
      <c r="M288"/>
    </row>
    <row r="289" spans="13:13">
      <c r="M289"/>
    </row>
    <row r="290" spans="13:13">
      <c r="M290"/>
    </row>
    <row r="291" spans="13:13">
      <c r="M291"/>
    </row>
    <row r="292" spans="13:13">
      <c r="M292"/>
    </row>
  </sheetData>
  <phoneticPr fontId="4" type="noConversion"/>
  <conditionalFormatting sqref="F105:F1048576">
    <cfRule type="cellIs" priority="5" operator="between">
      <formula>"USA"</formula>
      <formula>"M"</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3"/>
  <sheetViews>
    <sheetView workbookViewId="0">
      <selection activeCell="E16" sqref="E16"/>
    </sheetView>
  </sheetViews>
  <sheetFormatPr defaultRowHeight="14.25"/>
  <cols>
    <col min="1" max="1" width="9.375" customWidth="1"/>
    <col min="2" max="2" width="13.125" style="6" customWidth="1"/>
  </cols>
  <sheetData>
    <row r="1" spans="1:2" s="15" customFormat="1">
      <c r="A1" s="15" t="s">
        <v>297</v>
      </c>
      <c r="B1" s="17" t="s">
        <v>197</v>
      </c>
    </row>
    <row r="2" spans="1:2">
      <c r="A2">
        <v>1</v>
      </c>
      <c r="B2" s="6">
        <v>120</v>
      </c>
    </row>
    <row r="3" spans="1:2">
      <c r="A3">
        <v>2</v>
      </c>
      <c r="B3" s="6">
        <v>190</v>
      </c>
    </row>
    <row r="4" spans="1:2">
      <c r="A4">
        <v>3</v>
      </c>
      <c r="B4" s="6">
        <v>120</v>
      </c>
    </row>
    <row r="5" spans="1:2">
      <c r="A5">
        <v>4</v>
      </c>
      <c r="B5" s="6">
        <v>190</v>
      </c>
    </row>
    <row r="6" spans="1:2">
      <c r="A6">
        <v>5</v>
      </c>
      <c r="B6" s="6">
        <v>610</v>
      </c>
    </row>
    <row r="7" spans="1:2">
      <c r="A7">
        <v>6</v>
      </c>
      <c r="B7" s="6">
        <v>120</v>
      </c>
    </row>
    <row r="8" spans="1:2">
      <c r="A8">
        <v>7</v>
      </c>
      <c r="B8" s="6">
        <v>120</v>
      </c>
    </row>
    <row r="9" spans="1:2">
      <c r="A9">
        <v>8</v>
      </c>
      <c r="B9" s="6">
        <v>360</v>
      </c>
    </row>
    <row r="10" spans="1:2">
      <c r="A10">
        <v>9</v>
      </c>
      <c r="B10" s="6">
        <v>190</v>
      </c>
    </row>
    <row r="11" spans="1:2">
      <c r="A11">
        <v>10</v>
      </c>
      <c r="B11" s="6">
        <v>190</v>
      </c>
    </row>
    <row r="12" spans="1:2">
      <c r="A12">
        <v>11</v>
      </c>
      <c r="B12" s="6">
        <v>190</v>
      </c>
    </row>
    <row r="13" spans="1:2">
      <c r="A13">
        <v>12</v>
      </c>
      <c r="B13" s="6">
        <v>610</v>
      </c>
    </row>
    <row r="14" spans="1:2">
      <c r="A14">
        <v>13</v>
      </c>
      <c r="B14" s="6">
        <v>110</v>
      </c>
    </row>
    <row r="15" spans="1:2">
      <c r="A15">
        <v>14</v>
      </c>
      <c r="B15" s="6">
        <v>120</v>
      </c>
    </row>
    <row r="16" spans="1:2">
      <c r="A16">
        <v>15</v>
      </c>
      <c r="B16" s="6">
        <v>110</v>
      </c>
    </row>
    <row r="17" spans="1:2">
      <c r="A17">
        <v>16</v>
      </c>
      <c r="B17" s="6">
        <v>120</v>
      </c>
    </row>
    <row r="18" spans="1:2">
      <c r="A18">
        <v>17</v>
      </c>
      <c r="B18" s="6">
        <v>190</v>
      </c>
    </row>
    <row r="19" spans="1:2">
      <c r="A19">
        <v>18</v>
      </c>
      <c r="B19" s="6">
        <v>190</v>
      </c>
    </row>
    <row r="20" spans="1:2">
      <c r="A20">
        <v>19</v>
      </c>
      <c r="B20" s="6">
        <v>110</v>
      </c>
    </row>
    <row r="21" spans="1:2">
      <c r="A21">
        <v>20</v>
      </c>
      <c r="B21" s="6">
        <v>190</v>
      </c>
    </row>
    <row r="22" spans="1:2">
      <c r="A22">
        <v>21</v>
      </c>
      <c r="B22" s="6">
        <v>190</v>
      </c>
    </row>
    <row r="23" spans="1:2">
      <c r="A23">
        <v>22</v>
      </c>
      <c r="B23" s="6">
        <v>225</v>
      </c>
    </row>
    <row r="24" spans="1:2">
      <c r="A24">
        <v>23</v>
      </c>
      <c r="B24" s="6">
        <v>240</v>
      </c>
    </row>
    <row r="25" spans="1:2">
      <c r="A25">
        <v>24</v>
      </c>
      <c r="B25" s="6">
        <v>240</v>
      </c>
    </row>
    <row r="26" spans="1:2">
      <c r="A26">
        <v>25</v>
      </c>
      <c r="B26" s="6">
        <v>240</v>
      </c>
    </row>
    <row r="27" spans="1:2">
      <c r="A27">
        <v>26</v>
      </c>
      <c r="B27" s="6">
        <v>225</v>
      </c>
    </row>
    <row r="28" spans="1:2">
      <c r="A28">
        <v>27</v>
      </c>
      <c r="B28" s="6">
        <v>240</v>
      </c>
    </row>
    <row r="29" spans="1:2">
      <c r="A29">
        <v>28</v>
      </c>
      <c r="B29" s="6">
        <v>190</v>
      </c>
    </row>
    <row r="30" spans="1:2">
      <c r="A30">
        <v>29</v>
      </c>
      <c r="B30" s="6">
        <v>190</v>
      </c>
    </row>
    <row r="31" spans="1:2">
      <c r="A31">
        <v>30</v>
      </c>
      <c r="B31" s="6">
        <v>190</v>
      </c>
    </row>
    <row r="32" spans="1:2">
      <c r="A32">
        <v>31</v>
      </c>
      <c r="B32" s="6">
        <v>225</v>
      </c>
    </row>
    <row r="33" spans="1:2">
      <c r="A33">
        <v>32</v>
      </c>
      <c r="B33" s="6">
        <v>240</v>
      </c>
    </row>
    <row r="34" spans="1:2">
      <c r="A34">
        <v>33</v>
      </c>
      <c r="B34" s="6">
        <v>240</v>
      </c>
    </row>
    <row r="35" spans="1:2">
      <c r="A35">
        <v>34</v>
      </c>
      <c r="B35" s="6">
        <v>240</v>
      </c>
    </row>
    <row r="36" spans="1:2">
      <c r="A36">
        <v>35</v>
      </c>
      <c r="B36" s="6">
        <v>225</v>
      </c>
    </row>
    <row r="37" spans="1:2">
      <c r="A37">
        <v>36</v>
      </c>
      <c r="B37" s="6">
        <v>240</v>
      </c>
    </row>
    <row r="38" spans="1:2">
      <c r="A38">
        <v>37</v>
      </c>
      <c r="B38" s="6">
        <v>225</v>
      </c>
    </row>
    <row r="39" spans="1:2">
      <c r="A39">
        <v>38</v>
      </c>
      <c r="B39" s="6">
        <v>240</v>
      </c>
    </row>
    <row r="40" spans="1:2">
      <c r="A40">
        <v>39</v>
      </c>
      <c r="B40" s="6">
        <v>190</v>
      </c>
    </row>
    <row r="41" spans="1:2">
      <c r="A41">
        <v>40</v>
      </c>
      <c r="B41" s="6">
        <v>240</v>
      </c>
    </row>
    <row r="42" spans="1:2">
      <c r="A42">
        <v>41</v>
      </c>
      <c r="B42" s="6">
        <v>180</v>
      </c>
    </row>
    <row r="43" spans="1:2">
      <c r="A43">
        <v>42</v>
      </c>
      <c r="B43" s="6">
        <v>110</v>
      </c>
    </row>
    <row r="44" spans="1:2">
      <c r="A44">
        <v>43</v>
      </c>
      <c r="B44" s="6">
        <v>190</v>
      </c>
    </row>
    <row r="45" spans="1:2">
      <c r="A45">
        <v>44</v>
      </c>
      <c r="B45" s="6">
        <v>296</v>
      </c>
    </row>
    <row r="46" spans="1:2">
      <c r="A46">
        <v>45</v>
      </c>
      <c r="B46" s="6">
        <v>610</v>
      </c>
    </row>
    <row r="47" spans="1:2">
      <c r="A47">
        <v>46</v>
      </c>
      <c r="B47" s="6">
        <v>240</v>
      </c>
    </row>
    <row r="48" spans="1:2">
      <c r="A48">
        <v>47</v>
      </c>
      <c r="B48" s="6">
        <v>110</v>
      </c>
    </row>
    <row r="49" spans="1:2">
      <c r="A49">
        <v>48</v>
      </c>
      <c r="B49" s="6">
        <v>120</v>
      </c>
    </row>
    <row r="50" spans="1:2">
      <c r="A50">
        <v>49</v>
      </c>
      <c r="B50" s="6">
        <v>190</v>
      </c>
    </row>
    <row r="51" spans="1:2">
      <c r="A51">
        <v>50</v>
      </c>
      <c r="B51" s="6">
        <v>610</v>
      </c>
    </row>
    <row r="52" spans="1:2">
      <c r="A52">
        <v>51</v>
      </c>
      <c r="B52" s="6">
        <v>110</v>
      </c>
    </row>
    <row r="53" spans="1:2">
      <c r="A53">
        <v>52</v>
      </c>
      <c r="B53" s="6">
        <v>120</v>
      </c>
    </row>
    <row r="54" spans="1:2">
      <c r="A54">
        <v>53</v>
      </c>
      <c r="B54" s="6">
        <v>110</v>
      </c>
    </row>
    <row r="55" spans="1:2">
      <c r="A55">
        <v>54</v>
      </c>
      <c r="B55" s="6">
        <v>190</v>
      </c>
    </row>
    <row r="56" spans="1:2">
      <c r="A56">
        <v>55</v>
      </c>
      <c r="B56" s="6">
        <v>610</v>
      </c>
    </row>
    <row r="57" spans="1:2">
      <c r="A57">
        <v>56</v>
      </c>
      <c r="B57" s="6">
        <v>190</v>
      </c>
    </row>
    <row r="58" spans="1:2">
      <c r="A58">
        <v>57</v>
      </c>
      <c r="B58" s="6">
        <v>360</v>
      </c>
    </row>
    <row r="59" spans="1:2">
      <c r="A59">
        <v>58</v>
      </c>
      <c r="B59" s="6">
        <v>190</v>
      </c>
    </row>
    <row r="60" spans="1:2">
      <c r="A60">
        <v>59</v>
      </c>
      <c r="B60" s="6">
        <v>190</v>
      </c>
    </row>
    <row r="61" spans="1:2">
      <c r="A61">
        <v>60</v>
      </c>
      <c r="B61" s="6">
        <v>150</v>
      </c>
    </row>
    <row r="62" spans="1:2">
      <c r="A62">
        <v>61</v>
      </c>
      <c r="B62" s="6">
        <v>120</v>
      </c>
    </row>
    <row r="63" spans="1:2">
      <c r="A63">
        <v>62</v>
      </c>
      <c r="B63" s="6">
        <v>610</v>
      </c>
    </row>
    <row r="64" spans="1:2">
      <c r="A64">
        <v>63</v>
      </c>
      <c r="B64" s="6">
        <v>190</v>
      </c>
    </row>
    <row r="65" spans="1:2">
      <c r="A65">
        <v>64</v>
      </c>
      <c r="B65" s="6">
        <v>190</v>
      </c>
    </row>
    <row r="66" spans="1:2">
      <c r="A66">
        <v>65</v>
      </c>
      <c r="B66" s="6">
        <v>120</v>
      </c>
    </row>
    <row r="67" spans="1:2">
      <c r="A67">
        <v>66</v>
      </c>
      <c r="B67" s="6">
        <v>190</v>
      </c>
    </row>
    <row r="68" spans="1:2">
      <c r="A68">
        <v>67</v>
      </c>
      <c r="B68" s="6">
        <v>190</v>
      </c>
    </row>
    <row r="69" spans="1:2">
      <c r="A69">
        <v>68</v>
      </c>
      <c r="B69" s="6">
        <v>190</v>
      </c>
    </row>
    <row r="70" spans="1:2">
      <c r="A70">
        <v>69</v>
      </c>
      <c r="B70" s="6">
        <v>190</v>
      </c>
    </row>
    <row r="71" spans="1:2">
      <c r="A71">
        <v>70</v>
      </c>
      <c r="B71" s="6">
        <v>610</v>
      </c>
    </row>
    <row r="72" spans="1:2">
      <c r="A72">
        <v>71</v>
      </c>
      <c r="B72" s="6">
        <v>110</v>
      </c>
    </row>
    <row r="73" spans="1:2">
      <c r="A73">
        <v>72</v>
      </c>
      <c r="B73" s="6">
        <v>190</v>
      </c>
    </row>
    <row r="74" spans="1:2">
      <c r="A74">
        <v>73</v>
      </c>
      <c r="B74" s="6">
        <v>120</v>
      </c>
    </row>
    <row r="75" spans="1:2">
      <c r="A75">
        <v>74</v>
      </c>
      <c r="B75" s="6">
        <v>190</v>
      </c>
    </row>
    <row r="76" spans="1:2">
      <c r="A76">
        <v>75</v>
      </c>
      <c r="B76" s="6">
        <v>120</v>
      </c>
    </row>
    <row r="77" spans="1:2">
      <c r="A77">
        <v>76</v>
      </c>
      <c r="B77" s="6">
        <v>120</v>
      </c>
    </row>
    <row r="78" spans="1:2">
      <c r="A78">
        <v>77</v>
      </c>
      <c r="B78" s="6">
        <v>110</v>
      </c>
    </row>
    <row r="79" spans="1:2">
      <c r="A79">
        <v>78</v>
      </c>
      <c r="B79" s="6">
        <v>120</v>
      </c>
    </row>
    <row r="80" spans="1:2">
      <c r="A80">
        <v>79</v>
      </c>
      <c r="B80" s="6">
        <v>110</v>
      </c>
    </row>
    <row r="81" spans="1:2">
      <c r="A81">
        <v>80</v>
      </c>
      <c r="B81" s="6">
        <v>190</v>
      </c>
    </row>
    <row r="82" spans="1:2">
      <c r="A82">
        <v>81</v>
      </c>
      <c r="B82" s="6">
        <v>190</v>
      </c>
    </row>
    <row r="83" spans="1:2">
      <c r="A83">
        <v>82</v>
      </c>
      <c r="B83" s="6">
        <v>190</v>
      </c>
    </row>
    <row r="84" spans="1:2">
      <c r="A84">
        <v>83</v>
      </c>
      <c r="B84" s="6">
        <v>120</v>
      </c>
    </row>
    <row r="85" spans="1:2">
      <c r="A85">
        <v>84</v>
      </c>
      <c r="B85" s="6">
        <v>110</v>
      </c>
    </row>
    <row r="86" spans="1:2">
      <c r="A86">
        <v>85</v>
      </c>
      <c r="B86" s="6">
        <v>110</v>
      </c>
    </row>
    <row r="87" spans="1:2">
      <c r="A87">
        <v>86</v>
      </c>
      <c r="B87" s="6">
        <v>120</v>
      </c>
    </row>
    <row r="88" spans="1:2">
      <c r="A88">
        <v>87</v>
      </c>
      <c r="B88" s="6">
        <v>190</v>
      </c>
    </row>
    <row r="89" spans="1:2">
      <c r="A89">
        <v>88</v>
      </c>
      <c r="B89" s="6">
        <v>120</v>
      </c>
    </row>
    <row r="90" spans="1:2">
      <c r="A90">
        <v>89</v>
      </c>
      <c r="B90" s="6">
        <v>120</v>
      </c>
    </row>
    <row r="91" spans="1:2">
      <c r="A91">
        <v>90</v>
      </c>
      <c r="B91" s="6">
        <v>110</v>
      </c>
    </row>
    <row r="92" spans="1:2">
      <c r="A92">
        <v>91</v>
      </c>
      <c r="B92" s="6">
        <v>120</v>
      </c>
    </row>
    <row r="93" spans="1:2">
      <c r="A93">
        <v>92</v>
      </c>
      <c r="B93" s="6">
        <v>190</v>
      </c>
    </row>
    <row r="94" spans="1:2">
      <c r="A94">
        <v>93</v>
      </c>
      <c r="B94" s="6">
        <v>610</v>
      </c>
    </row>
    <row r="95" spans="1:2">
      <c r="A95">
        <v>94</v>
      </c>
      <c r="B95" s="6">
        <v>190</v>
      </c>
    </row>
    <row r="96" spans="1:2">
      <c r="A96">
        <v>95</v>
      </c>
      <c r="B96" s="6">
        <v>360</v>
      </c>
    </row>
    <row r="97" spans="1:2">
      <c r="A97">
        <v>96</v>
      </c>
      <c r="B97" s="6">
        <v>190</v>
      </c>
    </row>
    <row r="98" spans="1:2">
      <c r="A98">
        <v>97</v>
      </c>
      <c r="B98" s="6">
        <v>190</v>
      </c>
    </row>
    <row r="99" spans="1:2">
      <c r="A99">
        <v>98</v>
      </c>
      <c r="B99" s="6">
        <v>190</v>
      </c>
    </row>
    <row r="100" spans="1:2">
      <c r="A100">
        <v>99</v>
      </c>
      <c r="B100" s="6">
        <v>160</v>
      </c>
    </row>
    <row r="101" spans="1:2">
      <c r="A101">
        <v>100</v>
      </c>
      <c r="B101" s="6">
        <v>120</v>
      </c>
    </row>
    <row r="102" spans="1:2">
      <c r="A102">
        <v>101</v>
      </c>
      <c r="B102" s="6">
        <v>110</v>
      </c>
    </row>
    <row r="103" spans="1:2">
      <c r="A103">
        <v>102</v>
      </c>
      <c r="B103" s="6">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vt:lpstr>
      <vt:lpstr>Sheet1</vt:lpstr>
      <vt:lpstr>Dashboard</vt:lpstr>
      <vt:lpstr>Staff Info</vt:lpstr>
      <vt:lpstr>Staff Salary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ScholarsDNA</dc:creator>
  <cp:lastModifiedBy>hp</cp:lastModifiedBy>
  <cp:lastPrinted>2025-03-28T12:48:11Z</cp:lastPrinted>
  <dcterms:created xsi:type="dcterms:W3CDTF">2025-03-28T10:28:42Z</dcterms:created>
  <dcterms:modified xsi:type="dcterms:W3CDTF">2025-11-30T08:34:08Z</dcterms:modified>
</cp:coreProperties>
</file>